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Ex1.xml" ContentType="application/vnd.ms-office.chartex+xml"/>
  <Override PartName="/xl/charts/style24.xml" ContentType="application/vnd.ms-office.chartstyle+xml"/>
  <Override PartName="/xl/charts/colors24.xml" ContentType="application/vnd.ms-office.chartcolorstyle+xml"/>
  <Override PartName="/xl/drawings/drawing3.xml" ContentType="application/vnd.openxmlformats-officedocument.drawing+xml"/>
  <Override PartName="/xl/charts/chart24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4.xml" ContentType="application/vnd.openxmlformats-officedocument.drawing+xml"/>
  <Override PartName="/xl/charts/chart25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5.xml" ContentType="application/vnd.openxmlformats-officedocument.drawing+xml"/>
  <Override PartName="/xl/charts/chartEx2.xml" ContentType="application/vnd.ms-office.chartex+xml"/>
  <Override PartName="/xl/charts/style27.xml" ContentType="application/vnd.ms-office.chartstyle+xml"/>
  <Override PartName="/xl/charts/colors27.xml" ContentType="application/vnd.ms-office.chartcolorstyle+xml"/>
  <Override PartName="/xl/charts/chart26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7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28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codeName="ThisWorkbook" defaultThemeVersion="124226"/>
  <xr:revisionPtr revIDLastSave="0" documentId="13_ncr:1_{863C44B9-FE88-4B5D-8D53-CAD4C378DAB6}" xr6:coauthVersionLast="47" xr6:coauthVersionMax="47" xr10:uidLastSave="{00000000-0000-0000-0000-000000000000}"/>
  <workbookProtection workbookAlgorithmName="SHA-512" workbookHashValue="r2VqYy3cUNsAlg9oW1WU934XMH9q/+eBfmwUevU0gpYL8jySuEPQo9CAQ/T3XyF/+8qDCzwGB9YIUZp+Uek01Q==" workbookSaltValue="gMXAM+8tB6VrymUcKh18uQ==" workbookSpinCount="100000" lockStructure="1"/>
  <bookViews>
    <workbookView xWindow="-108" yWindow="-108" windowWidth="23256" windowHeight="12456" tabRatio="681" xr2:uid="{00000000-000D-0000-FFFF-FFFF00000000}"/>
  </bookViews>
  <sheets>
    <sheet name="DB" sheetId="23" r:id="rId1"/>
    <sheet name="SCENARIO-1 " sheetId="16" r:id="rId2"/>
    <sheet name="F.O" sheetId="20" r:id="rId3"/>
    <sheet name="O.H1" sheetId="3" state="hidden" r:id="rId4"/>
    <sheet name="O.H2" sheetId="4" state="hidden" r:id="rId5"/>
    <sheet name="P&amp;L" sheetId="6" r:id="rId6"/>
    <sheet name="C.F" sheetId="7" r:id="rId7"/>
    <sheet name="D.C.F" sheetId="8" r:id="rId8"/>
    <sheet name="M.C" sheetId="24" r:id="rId9"/>
    <sheet name="WACC" sheetId="17" r:id="rId10"/>
    <sheet name="B.E.P" sheetId="11" r:id="rId11"/>
    <sheet name="LEASE" sheetId="26" r:id="rId12"/>
    <sheet name="LOANS" sheetId="21" r:id="rId13"/>
    <sheet name="G.SALARY" sheetId="22" r:id="rId14"/>
    <sheet name="INPUTS" sheetId="25" state="hidden" r:id="rId15"/>
  </sheets>
  <definedNames>
    <definedName name="_xlchart.v1.0" hidden="1">O.H1!$C$9:$C$31</definedName>
    <definedName name="_xlchart.v1.1" hidden="1">M.C!$L$33:$L$1032</definedName>
    <definedName name="Beginning_Balance">-FV(Interest_Rate/12,Payment_Number-1,-Monthly_Payment,Loan_Amount)</definedName>
    <definedName name="Ending_Balance">-FV(Interest_Rate/12,Payment_Number,-Monthly_Payment,Loan_Amount)</definedName>
    <definedName name="Header_Row">ROW(#REF!)</definedName>
    <definedName name="Interest">-IPMT(Interest_Rate/12,Payment_Number,Number_of_Payments,Loan_Amount)</definedName>
    <definedName name="Interest_Rate">#REF!</definedName>
    <definedName name="Last_Row">IF(Values_Entered,Header_Row+Number_of_Payments,Header_Row)</definedName>
    <definedName name="Loan_Amount">#REF!</definedName>
    <definedName name="Loan_Not_Paid">IF(Payment_Number&lt;=Number_of_Payments,1,0)</definedName>
    <definedName name="Loan_Start">#REF!</definedName>
    <definedName name="Loan_Years">#REF!</definedName>
    <definedName name="Monthly_Payment">-PMT(Interest_Rate/12,Number_of_Payments,Loan_Amount)</definedName>
    <definedName name="Number_of_Payments">#REF!</definedName>
    <definedName name="Payment_Date">DATE(YEAR(Loan_Start),MONTH(Loan_Start)+Payment_Number,DAY(Loan_Start))</definedName>
    <definedName name="Payment_Number">ROW()-Header_Row</definedName>
    <definedName name="Principal">-PPMT(Interest_Rate/12,Payment_Number,Number_of_Payments,Loan_Amount)</definedName>
    <definedName name="Total_Cost">#REF!</definedName>
    <definedName name="Values_Entered">IF(Loan_Amount*Interest_Rate*Loan_Years*Loan_Start&gt;0,1,0)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26" l="1"/>
  <c r="E28" i="25"/>
  <c r="C9" i="26"/>
  <c r="C17" i="26"/>
  <c r="D17" i="26" s="1"/>
  <c r="E17" i="26" s="1"/>
  <c r="C16" i="26"/>
  <c r="D16" i="26" s="1"/>
  <c r="E16" i="26" s="1"/>
  <c r="C15" i="26"/>
  <c r="D15" i="26" s="1"/>
  <c r="E15" i="26" s="1"/>
  <c r="D35" i="16"/>
  <c r="D34" i="16"/>
  <c r="B71" i="11"/>
  <c r="D21" i="16"/>
  <c r="G43" i="16"/>
  <c r="G44" i="16"/>
  <c r="G42" i="16"/>
  <c r="D9" i="4"/>
  <c r="D12" i="25"/>
  <c r="D11" i="25"/>
  <c r="D10" i="25"/>
  <c r="D9" i="25"/>
  <c r="C32" i="3"/>
  <c r="C18" i="26" l="1"/>
  <c r="C27" i="26" s="1"/>
  <c r="C28" i="26" s="1"/>
  <c r="E9" i="8"/>
  <c r="F9" i="8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0" i="16"/>
  <c r="H69" i="16"/>
  <c r="H68" i="16"/>
  <c r="H67" i="16"/>
  <c r="H66" i="16"/>
  <c r="H65" i="16"/>
  <c r="H64" i="16"/>
  <c r="H63" i="16"/>
  <c r="G10" i="8"/>
  <c r="D9" i="8"/>
  <c r="D6" i="8"/>
  <c r="E6" i="8"/>
  <c r="F6" i="8"/>
  <c r="H6" i="8"/>
  <c r="I6" i="8"/>
  <c r="J6" i="8"/>
  <c r="K6" i="8"/>
  <c r="L6" i="8"/>
  <c r="M6" i="8"/>
  <c r="G6" i="8"/>
  <c r="C27" i="24" s="1" a="1"/>
  <c r="C27" i="24" s="1"/>
  <c r="M29" i="24"/>
  <c r="M28" i="24"/>
  <c r="M27" i="24"/>
  <c r="M26" i="24"/>
  <c r="L29" i="24"/>
  <c r="L28" i="24"/>
  <c r="L27" i="24"/>
  <c r="L26" i="24"/>
  <c r="C20" i="7"/>
  <c r="D20" i="7" s="1"/>
  <c r="E20" i="7" s="1"/>
  <c r="C38" i="3"/>
  <c r="C37" i="3"/>
  <c r="C36" i="3"/>
  <c r="C35" i="3"/>
  <c r="E18" i="26" l="1"/>
  <c r="C20" i="26" s="1"/>
  <c r="C21" i="26" s="1"/>
  <c r="D21" i="26" s="1"/>
  <c r="E64" i="16"/>
  <c r="E65" i="16"/>
  <c r="G65" i="16" s="1"/>
  <c r="E66" i="16"/>
  <c r="G66" i="16" s="1"/>
  <c r="C49" i="3"/>
  <c r="D49" i="3"/>
  <c r="C50" i="3"/>
  <c r="D50" i="3"/>
  <c r="C22" i="26" l="1"/>
  <c r="C54" i="3"/>
  <c r="D54" i="3"/>
  <c r="C55" i="3"/>
  <c r="D55" i="3"/>
  <c r="C56" i="3"/>
  <c r="D56" i="3"/>
  <c r="D68" i="3"/>
  <c r="C2" i="11"/>
  <c r="C2" i="20"/>
  <c r="C3" i="7"/>
  <c r="C3" i="6"/>
  <c r="C3" i="8"/>
  <c r="H183" i="16"/>
  <c r="E17" i="4" l="1"/>
  <c r="E18" i="4"/>
  <c r="D18" i="4"/>
  <c r="D17" i="4"/>
  <c r="D11" i="4"/>
  <c r="D31" i="4"/>
  <c r="E31" i="4" s="1"/>
  <c r="D30" i="4"/>
  <c r="E30" i="4" s="1"/>
  <c r="D29" i="4"/>
  <c r="E29" i="4" s="1"/>
  <c r="C195" i="16" l="1"/>
  <c r="G54" i="22" l="1"/>
  <c r="G56" i="22" s="1"/>
  <c r="G50" i="22"/>
  <c r="D50" i="22"/>
  <c r="J9" i="16" s="1"/>
  <c r="G47" i="22"/>
  <c r="G48" i="22" s="1"/>
  <c r="G49" i="22" s="1" a="1"/>
  <c r="G49" i="22" s="1"/>
  <c r="G51" i="22" s="1"/>
  <c r="D46" i="22"/>
  <c r="G35" i="22"/>
  <c r="G37" i="22" s="1"/>
  <c r="G31" i="22"/>
  <c r="D31" i="22"/>
  <c r="J10" i="16" s="1"/>
  <c r="G28" i="22"/>
  <c r="G29" i="22" s="1"/>
  <c r="G30" i="22" s="1" a="1"/>
  <c r="G30" i="22" s="1"/>
  <c r="D27" i="22"/>
  <c r="G16" i="22"/>
  <c r="G18" i="22" s="1"/>
  <c r="G12" i="22"/>
  <c r="G9" i="22"/>
  <c r="G10" i="22" s="1"/>
  <c r="G11" i="22" s="1" a="1"/>
  <c r="G11" i="22" s="1"/>
  <c r="G13" i="22" s="1"/>
  <c r="D12" i="22"/>
  <c r="J11" i="16" s="1"/>
  <c r="D8" i="22"/>
  <c r="H185" i="16"/>
  <c r="M3" i="23"/>
  <c r="C51" i="3"/>
  <c r="C52" i="3"/>
  <c r="C53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48" i="3"/>
  <c r="E57" i="16"/>
  <c r="D35" i="22" l="1"/>
  <c r="D37" i="22" s="1"/>
  <c r="C17" i="16"/>
  <c r="D16" i="22"/>
  <c r="D18" i="22" s="1"/>
  <c r="C18" i="16"/>
  <c r="D47" i="22"/>
  <c r="C16" i="16"/>
  <c r="H184" i="16"/>
  <c r="G32" i="22"/>
  <c r="D48" i="22"/>
  <c r="D49" i="22" s="1" a="1"/>
  <c r="D49" i="22" s="1"/>
  <c r="D54" i="22"/>
  <c r="D56" i="22" s="1"/>
  <c r="D28" i="22"/>
  <c r="D9" i="22"/>
  <c r="C6" i="21"/>
  <c r="C9" i="21" s="1"/>
  <c r="D74" i="21" s="1"/>
  <c r="D51" i="22" l="1"/>
  <c r="C9" i="16" s="1"/>
  <c r="H9" i="16"/>
  <c r="D29" i="22"/>
  <c r="D30" i="22" s="1" a="1"/>
  <c r="D30" i="22" s="1"/>
  <c r="D10" i="22"/>
  <c r="D11" i="22" s="1" a="1"/>
  <c r="D11" i="22" s="1"/>
  <c r="E14" i="21"/>
  <c r="D9" i="21"/>
  <c r="D116" i="21"/>
  <c r="D59" i="21"/>
  <c r="D107" i="21"/>
  <c r="D52" i="21"/>
  <c r="D76" i="21"/>
  <c r="D86" i="21"/>
  <c r="D96" i="21"/>
  <c r="D34" i="21"/>
  <c r="D67" i="21"/>
  <c r="D126" i="21"/>
  <c r="D117" i="21"/>
  <c r="D27" i="21"/>
  <c r="D61" i="21"/>
  <c r="D127" i="21"/>
  <c r="D79" i="21"/>
  <c r="D21" i="21"/>
  <c r="D37" i="21"/>
  <c r="D46" i="21"/>
  <c r="D81" i="21"/>
  <c r="D91" i="21"/>
  <c r="D101" i="21"/>
  <c r="D111" i="21"/>
  <c r="D121" i="21"/>
  <c r="D131" i="21"/>
  <c r="D17" i="21"/>
  <c r="D42" i="21"/>
  <c r="D77" i="21"/>
  <c r="D87" i="21"/>
  <c r="D97" i="21"/>
  <c r="D36" i="21"/>
  <c r="D69" i="21"/>
  <c r="D89" i="21"/>
  <c r="D119" i="21"/>
  <c r="D71" i="21"/>
  <c r="D129" i="21"/>
  <c r="D54" i="21"/>
  <c r="D72" i="21"/>
  <c r="D22" i="21"/>
  <c r="D39" i="21"/>
  <c r="D56" i="21"/>
  <c r="D132" i="21"/>
  <c r="D106" i="21"/>
  <c r="D26" i="21"/>
  <c r="D51" i="21"/>
  <c r="D19" i="21"/>
  <c r="D44" i="21"/>
  <c r="D99" i="21"/>
  <c r="D109" i="21"/>
  <c r="D29" i="21"/>
  <c r="D62" i="21"/>
  <c r="D92" i="21"/>
  <c r="D133" i="21"/>
  <c r="D128" i="21"/>
  <c r="D123" i="21"/>
  <c r="D118" i="21"/>
  <c r="D113" i="21"/>
  <c r="D108" i="21"/>
  <c r="D103" i="21"/>
  <c r="D98" i="21"/>
  <c r="D93" i="21"/>
  <c r="D88" i="21"/>
  <c r="D83" i="21"/>
  <c r="D78" i="21"/>
  <c r="D73" i="21"/>
  <c r="D68" i="21"/>
  <c r="D63" i="21"/>
  <c r="D58" i="21"/>
  <c r="D53" i="21"/>
  <c r="D48" i="21"/>
  <c r="D43" i="21"/>
  <c r="D38" i="21"/>
  <c r="D33" i="21"/>
  <c r="D28" i="21"/>
  <c r="D23" i="21"/>
  <c r="D18" i="21"/>
  <c r="D130" i="21"/>
  <c r="D125" i="21"/>
  <c r="D120" i="21"/>
  <c r="D115" i="21"/>
  <c r="D110" i="21"/>
  <c r="D105" i="21"/>
  <c r="D100" i="21"/>
  <c r="D95" i="21"/>
  <c r="D90" i="21"/>
  <c r="D85" i="21"/>
  <c r="D80" i="21"/>
  <c r="D75" i="21"/>
  <c r="D70" i="21"/>
  <c r="D65" i="21"/>
  <c r="D60" i="21"/>
  <c r="D55" i="21"/>
  <c r="D50" i="21"/>
  <c r="D45" i="21"/>
  <c r="D40" i="21"/>
  <c r="D35" i="21"/>
  <c r="D30" i="21"/>
  <c r="D25" i="21"/>
  <c r="D20" i="21"/>
  <c r="D15" i="21"/>
  <c r="D14" i="21"/>
  <c r="F14" i="21" s="1"/>
  <c r="D31" i="21"/>
  <c r="D47" i="21"/>
  <c r="D64" i="21"/>
  <c r="D82" i="21"/>
  <c r="D102" i="21"/>
  <c r="D112" i="21"/>
  <c r="D122" i="21"/>
  <c r="D16" i="21"/>
  <c r="D24" i="21"/>
  <c r="D32" i="21"/>
  <c r="D41" i="21"/>
  <c r="D49" i="21"/>
  <c r="D57" i="21"/>
  <c r="D66" i="21"/>
  <c r="D84" i="21"/>
  <c r="D94" i="21"/>
  <c r="D104" i="21"/>
  <c r="D114" i="21"/>
  <c r="D124" i="21"/>
  <c r="D13" i="22" l="1"/>
  <c r="C11" i="16" s="1"/>
  <c r="H11" i="16"/>
  <c r="D32" i="22"/>
  <c r="C10" i="16" s="1"/>
  <c r="H10" i="16"/>
  <c r="G14" i="21"/>
  <c r="E15" i="21" s="1"/>
  <c r="F15" i="21" l="1"/>
  <c r="G15" i="21" l="1"/>
  <c r="E16" i="21" s="1"/>
  <c r="F16" i="21" l="1"/>
  <c r="G16" i="21" l="1"/>
  <c r="E17" i="21" s="1"/>
  <c r="F17" i="21" s="1"/>
  <c r="G17" i="21" s="1"/>
  <c r="E18" i="21" s="1"/>
  <c r="F18" i="21" s="1"/>
  <c r="G18" i="21" s="1"/>
  <c r="E19" i="21" s="1"/>
  <c r="F19" i="21" s="1"/>
  <c r="G19" i="21" s="1"/>
  <c r="E20" i="21" l="1"/>
  <c r="F20" i="21" s="1"/>
  <c r="G20" i="21" s="1"/>
  <c r="E21" i="21" l="1"/>
  <c r="F21" i="21" s="1"/>
  <c r="G21" i="21" l="1"/>
  <c r="E22" i="21" s="1"/>
  <c r="F22" i="21" s="1"/>
  <c r="G22" i="21" s="1"/>
  <c r="E23" i="21" l="1"/>
  <c r="F23" i="21" s="1"/>
  <c r="G23" i="21" s="1"/>
  <c r="E24" i="21" l="1"/>
  <c r="F24" i="21" s="1"/>
  <c r="G24" i="21" s="1"/>
  <c r="E25" i="21" l="1"/>
  <c r="F25" i="21" l="1"/>
  <c r="D11" i="7" s="1"/>
  <c r="D12" i="7"/>
  <c r="C13" i="6" s="1"/>
  <c r="G25" i="21" l="1"/>
  <c r="E26" i="21" s="1"/>
  <c r="F26" i="21" l="1"/>
  <c r="G26" i="21" l="1"/>
  <c r="E27" i="21" s="1"/>
  <c r="F27" i="21" l="1"/>
  <c r="G27" i="21" l="1"/>
  <c r="E28" i="21" s="1"/>
  <c r="F28" i="21" l="1"/>
  <c r="G28" i="21" l="1"/>
  <c r="E29" i="21" s="1"/>
  <c r="F29" i="21" l="1"/>
  <c r="G29" i="21" l="1"/>
  <c r="E30" i="21" l="1"/>
  <c r="F30" i="21" l="1"/>
  <c r="G30" i="21" l="1"/>
  <c r="E31" i="21" s="1"/>
  <c r="F31" i="21" s="1"/>
  <c r="G31" i="21" s="1"/>
  <c r="E32" i="21" s="1"/>
  <c r="F32" i="21" s="1"/>
  <c r="G32" i="21" s="1"/>
  <c r="E33" i="21" s="1"/>
  <c r="F33" i="21" s="1"/>
  <c r="G33" i="21" s="1"/>
  <c r="E34" i="21" s="1"/>
  <c r="F34" i="21" s="1"/>
  <c r="G34" i="21" s="1"/>
  <c r="E35" i="21" s="1"/>
  <c r="F35" i="21" s="1"/>
  <c r="G35" i="21" s="1"/>
  <c r="E36" i="21" s="1"/>
  <c r="F36" i="21" s="1"/>
  <c r="G36" i="21" s="1"/>
  <c r="E37" i="21" s="1"/>
  <c r="F37" i="21" l="1"/>
  <c r="E12" i="7"/>
  <c r="D13" i="6" s="1"/>
  <c r="G37" i="21" l="1"/>
  <c r="E38" i="21" s="1"/>
  <c r="E11" i="7"/>
  <c r="F38" i="21" l="1"/>
  <c r="G38" i="21" l="1"/>
  <c r="E39" i="21" s="1"/>
  <c r="F39" i="21" l="1"/>
  <c r="G39" i="21" l="1"/>
  <c r="E40" i="21" l="1"/>
  <c r="F40" i="21" l="1"/>
  <c r="G40" i="21" l="1"/>
  <c r="E41" i="21" s="1"/>
  <c r="F41" i="21" l="1"/>
  <c r="G41" i="21" l="1"/>
  <c r="E42" i="21" s="1"/>
  <c r="F42" i="21" l="1"/>
  <c r="G42" i="21" l="1"/>
  <c r="E43" i="21" s="1"/>
  <c r="F43" i="21" s="1"/>
  <c r="G43" i="21" s="1"/>
  <c r="E44" i="21" s="1"/>
  <c r="F44" i="21" s="1"/>
  <c r="G44" i="21" s="1"/>
  <c r="E45" i="21" l="1"/>
  <c r="F45" i="21" s="1"/>
  <c r="G45" i="21" s="1"/>
  <c r="E46" i="21" s="1"/>
  <c r="F46" i="21" s="1"/>
  <c r="G46" i="21" s="1"/>
  <c r="E47" i="21" s="1"/>
  <c r="F47" i="21" s="1"/>
  <c r="G47" i="21" s="1"/>
  <c r="E48" i="21" s="1"/>
  <c r="F48" i="21" s="1"/>
  <c r="G48" i="21" s="1"/>
  <c r="E49" i="21" s="1"/>
  <c r="F49" i="21" l="1"/>
  <c r="F12" i="7"/>
  <c r="E13" i="6" s="1"/>
  <c r="G49" i="21" l="1"/>
  <c r="E50" i="21" s="1"/>
  <c r="F50" i="21" s="1"/>
  <c r="G50" i="21" s="1"/>
  <c r="F11" i="7"/>
  <c r="E51" i="21" l="1"/>
  <c r="F51" i="21" s="1"/>
  <c r="G51" i="21" s="1"/>
  <c r="E52" i="21" s="1"/>
  <c r="F52" i="21" s="1"/>
  <c r="G52" i="21" s="1"/>
  <c r="E53" i="21" s="1"/>
  <c r="F53" i="21" s="1"/>
  <c r="G53" i="21" s="1"/>
  <c r="E54" i="21" s="1"/>
  <c r="F54" i="21" s="1"/>
  <c r="G54" i="21" s="1"/>
  <c r="E55" i="21" l="1"/>
  <c r="F55" i="21" s="1"/>
  <c r="G55" i="21" s="1"/>
  <c r="E56" i="21" s="1"/>
  <c r="F56" i="21" s="1"/>
  <c r="G56" i="21" s="1"/>
  <c r="E57" i="21" l="1"/>
  <c r="F57" i="21" s="1"/>
  <c r="G57" i="21" s="1"/>
  <c r="E58" i="21" l="1"/>
  <c r="F58" i="21" s="1"/>
  <c r="G58" i="21" s="1"/>
  <c r="E59" i="21" l="1"/>
  <c r="F59" i="21" s="1"/>
  <c r="G59" i="21" s="1"/>
  <c r="E60" i="21" l="1"/>
  <c r="F60" i="21" s="1"/>
  <c r="G60" i="21" s="1"/>
  <c r="E61" i="21" l="1"/>
  <c r="F61" i="21" s="1"/>
  <c r="G61" i="21" s="1"/>
  <c r="E62" i="21" l="1"/>
  <c r="F62" i="21" s="1"/>
  <c r="G62" i="21" s="1"/>
  <c r="E63" i="21" l="1"/>
  <c r="F63" i="21" s="1"/>
  <c r="G63" i="21" s="1"/>
  <c r="E64" i="21" l="1"/>
  <c r="F64" i="21" s="1"/>
  <c r="G64" i="21" s="1"/>
  <c r="E65" i="21" l="1"/>
  <c r="F65" i="21" s="1"/>
  <c r="G65" i="21" s="1"/>
  <c r="E66" i="21" l="1"/>
  <c r="F66" i="21" s="1"/>
  <c r="G66" i="21" s="1"/>
  <c r="E67" i="21" l="1"/>
  <c r="F67" i="21" s="1"/>
  <c r="G67" i="21"/>
  <c r="E68" i="21" l="1"/>
  <c r="F68" i="21" s="1"/>
  <c r="G68" i="21" s="1"/>
  <c r="E69" i="21" l="1"/>
  <c r="F69" i="21" s="1"/>
  <c r="G69" i="21" s="1"/>
  <c r="E70" i="21" l="1"/>
  <c r="F70" i="21" s="1"/>
  <c r="G70" i="21"/>
  <c r="E71" i="21" l="1"/>
  <c r="F71" i="21" s="1"/>
  <c r="G71" i="21" s="1"/>
  <c r="E72" i="21" l="1"/>
  <c r="F72" i="21" s="1"/>
  <c r="G72" i="21" s="1"/>
  <c r="E73" i="21" l="1"/>
  <c r="F73" i="21" s="1"/>
  <c r="G73" i="21" s="1"/>
  <c r="E74" i="21" l="1"/>
  <c r="F74" i="21" s="1"/>
  <c r="G74" i="21" s="1"/>
  <c r="E75" i="21" l="1"/>
  <c r="F75" i="21" s="1"/>
  <c r="G75" i="21" s="1"/>
  <c r="E76" i="21" l="1"/>
  <c r="F76" i="21" s="1"/>
  <c r="G76" i="21" s="1"/>
  <c r="E77" i="21" l="1"/>
  <c r="F77" i="21" s="1"/>
  <c r="G77" i="21" s="1"/>
  <c r="E78" i="21" l="1"/>
  <c r="F78" i="21" s="1"/>
  <c r="G78" i="21" s="1"/>
  <c r="E79" i="21" l="1"/>
  <c r="F79" i="21" s="1"/>
  <c r="G79" i="21" s="1"/>
  <c r="E80" i="21" l="1"/>
  <c r="F80" i="21" s="1"/>
  <c r="G80" i="21" s="1"/>
  <c r="E81" i="21" l="1"/>
  <c r="F81" i="21" s="1"/>
  <c r="G81" i="21" s="1"/>
  <c r="E82" i="21" l="1"/>
  <c r="F82" i="21" s="1"/>
  <c r="G82" i="21" s="1"/>
  <c r="E83" i="21" l="1"/>
  <c r="F83" i="21" s="1"/>
  <c r="G83" i="21" s="1"/>
  <c r="E84" i="21" l="1"/>
  <c r="F84" i="21" s="1"/>
  <c r="G84" i="21" s="1"/>
  <c r="E85" i="21" l="1"/>
  <c r="F85" i="21" s="1"/>
  <c r="G85" i="21" s="1"/>
  <c r="E86" i="21" l="1"/>
  <c r="F86" i="21" s="1"/>
  <c r="G86" i="21" s="1"/>
  <c r="E87" i="21" l="1"/>
  <c r="F87" i="21" s="1"/>
  <c r="G87" i="21" s="1"/>
  <c r="E88" i="21" l="1"/>
  <c r="F88" i="21" s="1"/>
  <c r="G88" i="21" s="1"/>
  <c r="E89" i="21" l="1"/>
  <c r="F89" i="21" s="1"/>
  <c r="G89" i="21" s="1"/>
  <c r="E90" i="21" l="1"/>
  <c r="F90" i="21" s="1"/>
  <c r="G90" i="21" s="1"/>
  <c r="E91" i="21" l="1"/>
  <c r="F91" i="21" s="1"/>
  <c r="G91" i="21" s="1"/>
  <c r="E92" i="21" l="1"/>
  <c r="F92" i="21" s="1"/>
  <c r="G92" i="21" s="1"/>
  <c r="E93" i="21" l="1"/>
  <c r="F93" i="21" s="1"/>
  <c r="G93" i="21" s="1"/>
  <c r="E94" i="21" l="1"/>
  <c r="F94" i="21" s="1"/>
  <c r="G94" i="21" s="1"/>
  <c r="E95" i="21" l="1"/>
  <c r="F95" i="21" s="1"/>
  <c r="G95" i="21" s="1"/>
  <c r="E96" i="21" l="1"/>
  <c r="F96" i="21" s="1"/>
  <c r="G96" i="21" s="1"/>
  <c r="E97" i="21" l="1"/>
  <c r="F97" i="21" s="1"/>
  <c r="G97" i="21" s="1"/>
  <c r="E98" i="21" l="1"/>
  <c r="F98" i="21" s="1"/>
  <c r="G98" i="21" s="1"/>
  <c r="E99" i="21" l="1"/>
  <c r="F99" i="21" s="1"/>
  <c r="G99" i="21" s="1"/>
  <c r="E100" i="21" l="1"/>
  <c r="F100" i="21" s="1"/>
  <c r="G100" i="21"/>
  <c r="E101" i="21" l="1"/>
  <c r="F101" i="21" s="1"/>
  <c r="G101" i="21" s="1"/>
  <c r="E102" i="21" l="1"/>
  <c r="F102" i="21" s="1"/>
  <c r="G102" i="21" s="1"/>
  <c r="E103" i="21" l="1"/>
  <c r="F103" i="21" s="1"/>
  <c r="G103" i="21" s="1"/>
  <c r="E104" i="21" l="1"/>
  <c r="F104" i="21" s="1"/>
  <c r="G104" i="21" s="1"/>
  <c r="E105" i="21" l="1"/>
  <c r="F105" i="21" s="1"/>
  <c r="G105" i="21"/>
  <c r="E106" i="21" l="1"/>
  <c r="F106" i="21" s="1"/>
  <c r="G106" i="21" s="1"/>
  <c r="E107" i="21" l="1"/>
  <c r="F107" i="21" s="1"/>
  <c r="G107" i="21" s="1"/>
  <c r="E108" i="21" l="1"/>
  <c r="F108" i="21" s="1"/>
  <c r="G108" i="21" s="1"/>
  <c r="E109" i="21" l="1"/>
  <c r="F109" i="21" s="1"/>
  <c r="G109" i="21" s="1"/>
  <c r="E110" i="21" l="1"/>
  <c r="F110" i="21" s="1"/>
  <c r="G110" i="21" s="1"/>
  <c r="E111" i="21" l="1"/>
  <c r="F111" i="21" s="1"/>
  <c r="G111" i="21" s="1"/>
  <c r="E112" i="21" l="1"/>
  <c r="F112" i="21" s="1"/>
  <c r="G112" i="21" s="1"/>
  <c r="E113" i="21" l="1"/>
  <c r="F113" i="21" s="1"/>
  <c r="G113" i="21" s="1"/>
  <c r="E114" i="21" l="1"/>
  <c r="F114" i="21" s="1"/>
  <c r="G114" i="21" s="1"/>
  <c r="E115" i="21" l="1"/>
  <c r="F115" i="21" s="1"/>
  <c r="G115" i="21" s="1"/>
  <c r="E116" i="21" l="1"/>
  <c r="F116" i="21" s="1"/>
  <c r="G116" i="21"/>
  <c r="E117" i="21" l="1"/>
  <c r="F117" i="21" s="1"/>
  <c r="G117" i="21" s="1"/>
  <c r="E118" i="21" l="1"/>
  <c r="F118" i="21" s="1"/>
  <c r="G118" i="21" s="1"/>
  <c r="E119" i="21" l="1"/>
  <c r="F119" i="21" s="1"/>
  <c r="G119" i="21" s="1"/>
  <c r="E120" i="21" l="1"/>
  <c r="F120" i="21" s="1"/>
  <c r="G120" i="21" s="1"/>
  <c r="E121" i="21" l="1"/>
  <c r="F121" i="21" s="1"/>
  <c r="G121" i="21" s="1"/>
  <c r="E122" i="21" l="1"/>
  <c r="F122" i="21" s="1"/>
  <c r="G122" i="21" s="1"/>
  <c r="E123" i="21" l="1"/>
  <c r="F123" i="21" s="1"/>
  <c r="G123" i="21" s="1"/>
  <c r="E124" i="21" l="1"/>
  <c r="F124" i="21" s="1"/>
  <c r="G124" i="21" s="1"/>
  <c r="E125" i="21" l="1"/>
  <c r="F125" i="21" s="1"/>
  <c r="G125" i="21"/>
  <c r="E126" i="21" l="1"/>
  <c r="F126" i="21" s="1"/>
  <c r="G126" i="21" s="1"/>
  <c r="E127" i="21" l="1"/>
  <c r="F127" i="21" s="1"/>
  <c r="G127" i="21" s="1"/>
  <c r="E128" i="21" l="1"/>
  <c r="F128" i="21" s="1"/>
  <c r="G128" i="21" s="1"/>
  <c r="E129" i="21" l="1"/>
  <c r="F129" i="21" s="1"/>
  <c r="G129" i="21" s="1"/>
  <c r="E130" i="21" l="1"/>
  <c r="F130" i="21" s="1"/>
  <c r="G130" i="21"/>
  <c r="E131" i="21" l="1"/>
  <c r="F131" i="21" s="1"/>
  <c r="G131" i="21" s="1"/>
  <c r="E132" i="21" l="1"/>
  <c r="F132" i="21" s="1"/>
  <c r="G132" i="21" s="1"/>
  <c r="E133" i="21" l="1"/>
  <c r="F133" i="21" s="1"/>
  <c r="G133" i="21" s="1"/>
  <c r="M106" i="16" l="1"/>
  <c r="K109" i="16" s="1"/>
  <c r="E86" i="16"/>
  <c r="G86" i="16" s="1"/>
  <c r="E87" i="16"/>
  <c r="G87" i="16" s="1"/>
  <c r="E88" i="16"/>
  <c r="G88" i="16" s="1"/>
  <c r="C22" i="17"/>
  <c r="C21" i="17"/>
  <c r="C9" i="17"/>
  <c r="C19" i="17" s="1"/>
  <c r="C71" i="16"/>
  <c r="H71" i="16" s="1"/>
  <c r="K106" i="16" l="1"/>
  <c r="K107" i="16"/>
  <c r="K108" i="16"/>
  <c r="C24" i="17"/>
  <c r="K110" i="16" l="1"/>
  <c r="C28" i="24" l="1"/>
  <c r="F163" i="16"/>
  <c r="G163" i="16" s="1"/>
  <c r="F158" i="16"/>
  <c r="G158" i="16" s="1"/>
  <c r="F168" i="16"/>
  <c r="G168" i="16" s="1"/>
  <c r="F169" i="16"/>
  <c r="G169" i="16" s="1"/>
  <c r="F170" i="16"/>
  <c r="G170" i="16" s="1"/>
  <c r="F167" i="16"/>
  <c r="G167" i="16" s="1"/>
  <c r="F159" i="16"/>
  <c r="G159" i="16" s="1"/>
  <c r="F160" i="16"/>
  <c r="G160" i="16" s="1"/>
  <c r="F161" i="16"/>
  <c r="G161" i="16" s="1"/>
  <c r="F162" i="16"/>
  <c r="G162" i="16" s="1"/>
  <c r="F124" i="16"/>
  <c r="G124" i="16" s="1"/>
  <c r="F144" i="16"/>
  <c r="G144" i="16" s="1"/>
  <c r="F136" i="16"/>
  <c r="G136" i="16" s="1"/>
  <c r="F121" i="16"/>
  <c r="G121" i="16" s="1"/>
  <c r="F105" i="16"/>
  <c r="G105" i="16" s="1"/>
  <c r="F125" i="16"/>
  <c r="G125" i="16" s="1"/>
  <c r="F145" i="16"/>
  <c r="G145" i="16" s="1"/>
  <c r="F129" i="16"/>
  <c r="G129" i="16" s="1"/>
  <c r="F133" i="16"/>
  <c r="G133" i="16" s="1"/>
  <c r="F114" i="16"/>
  <c r="G114" i="16" s="1"/>
  <c r="F115" i="16"/>
  <c r="G115" i="16" s="1"/>
  <c r="F135" i="16"/>
  <c r="G135" i="16" s="1"/>
  <c r="F138" i="16"/>
  <c r="G138" i="16" s="1"/>
  <c r="F139" i="16"/>
  <c r="G139" i="16" s="1"/>
  <c r="F120" i="16"/>
  <c r="G120" i="16" s="1"/>
  <c r="F106" i="16"/>
  <c r="G106" i="16" s="1"/>
  <c r="F126" i="16"/>
  <c r="G126" i="16" s="1"/>
  <c r="F146" i="16"/>
  <c r="G146" i="16" s="1"/>
  <c r="F148" i="16"/>
  <c r="G148" i="16" s="1"/>
  <c r="F149" i="16"/>
  <c r="G149" i="16" s="1"/>
  <c r="F111" i="16"/>
  <c r="G111" i="16" s="1"/>
  <c r="F132" i="16"/>
  <c r="G132" i="16" s="1"/>
  <c r="F113" i="16"/>
  <c r="G113" i="16" s="1"/>
  <c r="F118" i="16"/>
  <c r="G118" i="16" s="1"/>
  <c r="F107" i="16"/>
  <c r="G107" i="16" s="1"/>
  <c r="F127" i="16"/>
  <c r="G127" i="16" s="1"/>
  <c r="F147" i="16"/>
  <c r="G147" i="16" s="1"/>
  <c r="F128" i="16"/>
  <c r="G128" i="16" s="1"/>
  <c r="F130" i="16"/>
  <c r="G130" i="16" s="1"/>
  <c r="F150" i="16"/>
  <c r="G150" i="16" s="1"/>
  <c r="F131" i="16"/>
  <c r="G131" i="16" s="1"/>
  <c r="F112" i="16"/>
  <c r="G112" i="16" s="1"/>
  <c r="F116" i="16"/>
  <c r="G116" i="16" s="1"/>
  <c r="F117" i="16"/>
  <c r="G117" i="16" s="1"/>
  <c r="F140" i="16"/>
  <c r="G140" i="16" s="1"/>
  <c r="F141" i="16"/>
  <c r="G141" i="16" s="1"/>
  <c r="F142" i="16"/>
  <c r="G142" i="16" s="1"/>
  <c r="F123" i="16"/>
  <c r="G123" i="16" s="1"/>
  <c r="F143" i="16"/>
  <c r="G143" i="16" s="1"/>
  <c r="F108" i="16"/>
  <c r="G108" i="16" s="1"/>
  <c r="F137" i="16"/>
  <c r="G137" i="16" s="1"/>
  <c r="F109" i="16"/>
  <c r="G109" i="16" s="1"/>
  <c r="F110" i="16"/>
  <c r="G110" i="16" s="1"/>
  <c r="F119" i="16"/>
  <c r="G119" i="16" s="1"/>
  <c r="F122" i="16"/>
  <c r="G122" i="16" s="1"/>
  <c r="F104" i="16"/>
  <c r="G104" i="16" s="1"/>
  <c r="F134" i="16"/>
  <c r="G134" i="16" s="1"/>
  <c r="E85" i="16"/>
  <c r="G85" i="16" s="1"/>
  <c r="G171" i="16" l="1"/>
  <c r="G164" i="16"/>
  <c r="E70" i="16"/>
  <c r="G70" i="16" s="1"/>
  <c r="E71" i="16"/>
  <c r="G71" i="16" s="1"/>
  <c r="B174" i="16"/>
  <c r="C7" i="11"/>
  <c r="C8" i="6" l="1"/>
  <c r="C17" i="6" s="1"/>
  <c r="C32" i="11"/>
  <c r="E91" i="16"/>
  <c r="G91" i="16" s="1"/>
  <c r="E90" i="16"/>
  <c r="G90" i="16" s="1"/>
  <c r="E89" i="16"/>
  <c r="G89" i="16" s="1"/>
  <c r="E84" i="16"/>
  <c r="G84" i="16" s="1"/>
  <c r="E83" i="16"/>
  <c r="G83" i="16" s="1"/>
  <c r="E82" i="16"/>
  <c r="G82" i="16" s="1"/>
  <c r="E81" i="16"/>
  <c r="G81" i="16" s="1"/>
  <c r="E80" i="16"/>
  <c r="G80" i="16" s="1"/>
  <c r="E79" i="16"/>
  <c r="G79" i="16" s="1"/>
  <c r="E78" i="16"/>
  <c r="G78" i="16" s="1"/>
  <c r="E77" i="16"/>
  <c r="G77" i="16" s="1"/>
  <c r="E76" i="16"/>
  <c r="G76" i="16" s="1"/>
  <c r="E75" i="16"/>
  <c r="G75" i="16" s="1"/>
  <c r="E74" i="16"/>
  <c r="G74" i="16" s="1"/>
  <c r="E73" i="16"/>
  <c r="G73" i="16" s="1"/>
  <c r="E72" i="16"/>
  <c r="G72" i="16" s="1"/>
  <c r="E69" i="16"/>
  <c r="G69" i="16" s="1"/>
  <c r="E68" i="16"/>
  <c r="G68" i="16" s="1"/>
  <c r="E67" i="16"/>
  <c r="G67" i="16" s="1"/>
  <c r="E63" i="16"/>
  <c r="G63" i="16" s="1"/>
  <c r="E45" i="16"/>
  <c r="D45" i="16"/>
  <c r="C45" i="16"/>
  <c r="F44" i="16"/>
  <c r="F43" i="16"/>
  <c r="F42" i="16"/>
  <c r="F27" i="16"/>
  <c r="C35" i="16" s="1"/>
  <c r="F26" i="16"/>
  <c r="F25" i="16"/>
  <c r="C33" i="16" s="1"/>
  <c r="E18" i="16"/>
  <c r="D18" i="16"/>
  <c r="E17" i="16"/>
  <c r="D17" i="16"/>
  <c r="E16" i="16"/>
  <c r="D16" i="16"/>
  <c r="C9" i="4" l="1"/>
  <c r="D8" i="6"/>
  <c r="C31" i="6"/>
  <c r="C182" i="16"/>
  <c r="C27" i="20" s="1"/>
  <c r="F16" i="16"/>
  <c r="F9" i="16" s="1"/>
  <c r="K9" i="16" s="1"/>
  <c r="C15" i="6"/>
  <c r="C34" i="16"/>
  <c r="F17" i="16"/>
  <c r="F10" i="16" s="1"/>
  <c r="K10" i="16" s="1"/>
  <c r="F45" i="16"/>
  <c r="F46" i="16" s="1"/>
  <c r="F18" i="16"/>
  <c r="F11" i="16" s="1"/>
  <c r="K11" i="16" s="1"/>
  <c r="E33" i="16"/>
  <c r="G45" i="16"/>
  <c r="C29" i="11" s="1"/>
  <c r="C39" i="4" l="1"/>
  <c r="C36" i="4"/>
  <c r="C37" i="4"/>
  <c r="C38" i="4"/>
  <c r="E8" i="6"/>
  <c r="E31" i="6" s="1"/>
  <c r="D31" i="6"/>
  <c r="L9" i="16"/>
  <c r="E34" i="16"/>
  <c r="L10" i="16" s="1"/>
  <c r="F57" i="16"/>
  <c r="E35" i="16"/>
  <c r="D17" i="6"/>
  <c r="D15" i="6"/>
  <c r="C36" i="16"/>
  <c r="C6" i="11" s="1"/>
  <c r="C180" i="16"/>
  <c r="C26" i="11"/>
  <c r="C179" i="16"/>
  <c r="C22" i="7" s="1"/>
  <c r="D22" i="7" s="1"/>
  <c r="E22" i="7" s="1"/>
  <c r="L33" i="16"/>
  <c r="I33" i="16"/>
  <c r="M33" i="16"/>
  <c r="K33" i="16"/>
  <c r="J33" i="16"/>
  <c r="H33" i="16"/>
  <c r="G33" i="16"/>
  <c r="F33" i="16"/>
  <c r="H42" i="16" l="1"/>
  <c r="C59" i="11"/>
  <c r="C63" i="11"/>
  <c r="C78" i="11" s="1"/>
  <c r="J34" i="16"/>
  <c r="K34" i="16"/>
  <c r="M34" i="16"/>
  <c r="M36" i="16" s="1"/>
  <c r="H34" i="16"/>
  <c r="F34" i="16"/>
  <c r="G34" i="16"/>
  <c r="I34" i="16"/>
  <c r="L34" i="16"/>
  <c r="E36" i="16"/>
  <c r="D36" i="16"/>
  <c r="I35" i="16"/>
  <c r="E7" i="7"/>
  <c r="D18" i="6"/>
  <c r="E17" i="6"/>
  <c r="E15" i="6"/>
  <c r="F176" i="16"/>
  <c r="E176" i="16"/>
  <c r="E51" i="16"/>
  <c r="H35" i="16"/>
  <c r="M35" i="16"/>
  <c r="L35" i="16"/>
  <c r="G35" i="16"/>
  <c r="K35" i="16"/>
  <c r="J35" i="16"/>
  <c r="J36" i="16" s="1"/>
  <c r="C14" i="11" s="1"/>
  <c r="F35" i="16"/>
  <c r="L11" i="16"/>
  <c r="L12" i="16" s="1"/>
  <c r="C24" i="20"/>
  <c r="C25" i="20"/>
  <c r="N33" i="16"/>
  <c r="C7" i="20" s="1"/>
  <c r="K36" i="16" l="1"/>
  <c r="C15" i="11" s="1"/>
  <c r="B72" i="11"/>
  <c r="F72" i="11" s="1"/>
  <c r="B70" i="11"/>
  <c r="F70" i="11" s="1"/>
  <c r="B69" i="11"/>
  <c r="F69" i="11" s="1"/>
  <c r="B73" i="11"/>
  <c r="H36" i="16"/>
  <c r="F71" i="11"/>
  <c r="F73" i="11"/>
  <c r="F68" i="11"/>
  <c r="I36" i="16"/>
  <c r="C13" i="11" s="1"/>
  <c r="N34" i="16"/>
  <c r="C8" i="20" s="1"/>
  <c r="C16" i="20" s="1"/>
  <c r="L36" i="16"/>
  <c r="C16" i="11" s="1"/>
  <c r="G36" i="16"/>
  <c r="C12" i="11" s="1"/>
  <c r="C17" i="11"/>
  <c r="F7" i="7"/>
  <c r="E18" i="6"/>
  <c r="N35" i="16"/>
  <c r="F36" i="16"/>
  <c r="C11" i="11" s="1"/>
  <c r="C18" i="11"/>
  <c r="F51" i="16"/>
  <c r="C15" i="20"/>
  <c r="N36" i="16" l="1"/>
  <c r="N37" i="16" s="1"/>
  <c r="C9" i="20"/>
  <c r="C17" i="20" s="1"/>
  <c r="C19" i="11"/>
  <c r="C178" i="16" l="1"/>
  <c r="C21" i="7" s="1"/>
  <c r="D21" i="7" s="1"/>
  <c r="D10" i="4"/>
  <c r="D14" i="4"/>
  <c r="C23" i="20" l="1"/>
  <c r="E21" i="7"/>
  <c r="G6" i="7"/>
  <c r="H6" i="7"/>
  <c r="I6" i="7"/>
  <c r="J6" i="7"/>
  <c r="K6" i="7"/>
  <c r="L6" i="7"/>
  <c r="M6" i="7"/>
  <c r="G7" i="7"/>
  <c r="H7" i="7"/>
  <c r="I7" i="7"/>
  <c r="J7" i="7"/>
  <c r="K7" i="7"/>
  <c r="L7" i="7"/>
  <c r="M7" i="7"/>
  <c r="F17" i="6"/>
  <c r="F18" i="6" s="1"/>
  <c r="G17" i="6"/>
  <c r="H17" i="6"/>
  <c r="I17" i="6"/>
  <c r="I18" i="6" s="1"/>
  <c r="J17" i="6"/>
  <c r="J18" i="6" s="1"/>
  <c r="K17" i="6"/>
  <c r="K18" i="6" s="1"/>
  <c r="K10" i="7" l="1"/>
  <c r="J10" i="7"/>
  <c r="I10" i="7"/>
  <c r="L10" i="7"/>
  <c r="H10" i="7"/>
  <c r="M10" i="7"/>
  <c r="G10" i="7"/>
  <c r="H18" i="6"/>
  <c r="G18" i="6"/>
  <c r="C33" i="3"/>
  <c r="D10" i="3" l="1"/>
  <c r="F10" i="3" s="1"/>
  <c r="D11" i="3"/>
  <c r="F11" i="3" s="1"/>
  <c r="D16" i="3"/>
  <c r="F16" i="3" s="1"/>
  <c r="D17" i="3"/>
  <c r="F17" i="3" s="1"/>
  <c r="D18" i="3"/>
  <c r="F18" i="3" s="1"/>
  <c r="D15" i="3"/>
  <c r="F15" i="3" s="1"/>
  <c r="C20" i="11"/>
  <c r="C62" i="11" s="1"/>
  <c r="C79" i="11" s="1"/>
  <c r="C22" i="11"/>
  <c r="C42" i="11" l="1"/>
  <c r="C13" i="7"/>
  <c r="J12" i="6"/>
  <c r="I12" i="6"/>
  <c r="F12" i="6"/>
  <c r="G13" i="7" l="1"/>
  <c r="G12" i="8" s="1"/>
  <c r="K13" i="7"/>
  <c r="M13" i="7"/>
  <c r="M7" i="8" s="1"/>
  <c r="M10" i="8" s="1"/>
  <c r="I13" i="7"/>
  <c r="J13" i="7"/>
  <c r="H13" i="7"/>
  <c r="L13" i="7"/>
  <c r="H12" i="6"/>
  <c r="H14" i="6" s="1"/>
  <c r="H16" i="6" s="1"/>
  <c r="H19" i="6" s="1"/>
  <c r="F14" i="6"/>
  <c r="F16" i="6" s="1"/>
  <c r="F19" i="6" s="1"/>
  <c r="J14" i="6"/>
  <c r="J16" i="6" s="1"/>
  <c r="J19" i="6" s="1"/>
  <c r="I14" i="6"/>
  <c r="I16" i="6" s="1"/>
  <c r="I19" i="6" s="1"/>
  <c r="G12" i="6"/>
  <c r="G14" i="6" s="1"/>
  <c r="G16" i="6" s="1"/>
  <c r="G19" i="6" s="1"/>
  <c r="K12" i="6"/>
  <c r="K14" i="6" s="1"/>
  <c r="K16" i="6" s="1"/>
  <c r="K19" i="6" s="1"/>
  <c r="L7" i="8" l="1"/>
  <c r="L10" i="8" s="1"/>
  <c r="L12" i="8" s="1"/>
  <c r="H7" i="8"/>
  <c r="H10" i="8" s="1"/>
  <c r="H12" i="8" s="1"/>
  <c r="J7" i="8"/>
  <c r="J10" i="8" s="1"/>
  <c r="J12" i="8" s="1"/>
  <c r="I7" i="8"/>
  <c r="I10" i="8" s="1"/>
  <c r="I12" i="8" s="1"/>
  <c r="K7" i="8"/>
  <c r="K10" i="8" s="1"/>
  <c r="K12" i="8" s="1"/>
  <c r="C33" i="4"/>
  <c r="E11" i="4"/>
  <c r="D69" i="3" s="1"/>
  <c r="E10" i="4"/>
  <c r="D24" i="4"/>
  <c r="E24" i="4" s="1"/>
  <c r="D51" i="3" s="1"/>
  <c r="D25" i="4"/>
  <c r="D32" i="4"/>
  <c r="E32" i="4" s="1"/>
  <c r="D53" i="3" s="1"/>
  <c r="D26" i="4"/>
  <c r="E26" i="4" s="1"/>
  <c r="D57" i="3" s="1"/>
  <c r="D27" i="4"/>
  <c r="E27" i="4" s="1"/>
  <c r="D58" i="3" s="1"/>
  <c r="D23" i="4"/>
  <c r="E23" i="4" s="1"/>
  <c r="D59" i="3" s="1"/>
  <c r="D19" i="4"/>
  <c r="E19" i="4" s="1"/>
  <c r="D60" i="3" s="1"/>
  <c r="D20" i="4"/>
  <c r="D21" i="4"/>
  <c r="E21" i="4" s="1"/>
  <c r="D62" i="3" s="1"/>
  <c r="D22" i="4"/>
  <c r="E22" i="4" s="1"/>
  <c r="D63" i="3" s="1"/>
  <c r="D13" i="4"/>
  <c r="E13" i="4" s="1"/>
  <c r="D64" i="3" s="1"/>
  <c r="E14" i="4"/>
  <c r="D65" i="3" s="1"/>
  <c r="D15" i="4"/>
  <c r="E15" i="4" s="1"/>
  <c r="D66" i="3" s="1"/>
  <c r="D28" i="4"/>
  <c r="E28" i="4" s="1"/>
  <c r="D48" i="3" s="1"/>
  <c r="E25" i="4"/>
  <c r="D52" i="3" s="1"/>
  <c r="D12" i="4"/>
  <c r="E12" i="4" s="1"/>
  <c r="D70" i="3" s="1"/>
  <c r="D16" i="4"/>
  <c r="E16" i="4" s="1"/>
  <c r="D67" i="3" s="1"/>
  <c r="D14" i="3"/>
  <c r="F14" i="3" s="1"/>
  <c r="C39" i="3" l="1"/>
  <c r="C40" i="3" s="1"/>
  <c r="E20" i="4"/>
  <c r="C40" i="4"/>
  <c r="C41" i="4" s="1"/>
  <c r="D28" i="3"/>
  <c r="F28" i="3" s="1"/>
  <c r="D24" i="3"/>
  <c r="F24" i="3" s="1"/>
  <c r="D20" i="3"/>
  <c r="F20" i="3" s="1"/>
  <c r="D13" i="3"/>
  <c r="F13" i="3" s="1"/>
  <c r="D9" i="3"/>
  <c r="D31" i="3"/>
  <c r="F31" i="3" s="1"/>
  <c r="D27" i="3"/>
  <c r="F27" i="3" s="1"/>
  <c r="D23" i="3"/>
  <c r="F23" i="3" s="1"/>
  <c r="D19" i="3"/>
  <c r="F19" i="3" s="1"/>
  <c r="D12" i="3"/>
  <c r="F12" i="3" s="1"/>
  <c r="D33" i="3"/>
  <c r="D30" i="3"/>
  <c r="F30" i="3" s="1"/>
  <c r="D26" i="3"/>
  <c r="F26" i="3" s="1"/>
  <c r="D22" i="3"/>
  <c r="F22" i="3" s="1"/>
  <c r="D32" i="3"/>
  <c r="F32" i="3" s="1"/>
  <c r="D29" i="3"/>
  <c r="F29" i="3" s="1"/>
  <c r="D25" i="3"/>
  <c r="F25" i="3" s="1"/>
  <c r="D21" i="3"/>
  <c r="F21" i="3" s="1"/>
  <c r="D61" i="3" l="1"/>
  <c r="C43" i="3"/>
  <c r="C42" i="3"/>
  <c r="F9" i="3"/>
  <c r="F33" i="3" s="1"/>
  <c r="E9" i="4"/>
  <c r="D33" i="4"/>
  <c r="C47" i="4" l="1"/>
  <c r="C46" i="4"/>
  <c r="C45" i="4"/>
  <c r="C44" i="4"/>
  <c r="E33" i="4"/>
  <c r="G18" i="4" l="1"/>
  <c r="H18" i="4" s="1"/>
  <c r="G17" i="4"/>
  <c r="H17" i="4" s="1"/>
  <c r="G25" i="4"/>
  <c r="H25" i="4" s="1"/>
  <c r="G30" i="4"/>
  <c r="H30" i="4" s="1"/>
  <c r="G29" i="4"/>
  <c r="H29" i="4" s="1"/>
  <c r="G31" i="4"/>
  <c r="H31" i="4" s="1"/>
  <c r="G15" i="4"/>
  <c r="H15" i="4" s="1"/>
  <c r="G9" i="4"/>
  <c r="H9" i="4" s="1"/>
  <c r="C190" i="16" s="1"/>
  <c r="G16" i="4"/>
  <c r="H16" i="4" s="1"/>
  <c r="G14" i="4"/>
  <c r="H14" i="4" s="1"/>
  <c r="G32" i="4"/>
  <c r="H32" i="4" s="1"/>
  <c r="G28" i="4"/>
  <c r="H28" i="4" s="1"/>
  <c r="G10" i="4"/>
  <c r="H10" i="4" s="1"/>
  <c r="G22" i="4"/>
  <c r="H22" i="4" s="1"/>
  <c r="G20" i="4"/>
  <c r="H20" i="4" s="1"/>
  <c r="G12" i="4"/>
  <c r="H12" i="4" s="1"/>
  <c r="G33" i="4"/>
  <c r="G26" i="4"/>
  <c r="H26" i="4" s="1"/>
  <c r="G13" i="4"/>
  <c r="H13" i="4" s="1"/>
  <c r="G27" i="4"/>
  <c r="H27" i="4" s="1"/>
  <c r="G23" i="4"/>
  <c r="H23" i="4" s="1"/>
  <c r="G24" i="4"/>
  <c r="H24" i="4" s="1"/>
  <c r="G11" i="4"/>
  <c r="H11" i="4" s="1"/>
  <c r="G21" i="4"/>
  <c r="H21" i="4" s="1"/>
  <c r="G19" i="4"/>
  <c r="H19" i="4" s="1"/>
  <c r="C48" i="4"/>
  <c r="C49" i="4" s="1"/>
  <c r="C29" i="20" l="1"/>
  <c r="C31" i="11"/>
  <c r="H33" i="4"/>
  <c r="I28" i="4" s="1"/>
  <c r="I18" i="4" l="1"/>
  <c r="I17" i="4"/>
  <c r="I29" i="4"/>
  <c r="I30" i="4"/>
  <c r="I31" i="4"/>
  <c r="I32" i="4"/>
  <c r="I13" i="4"/>
  <c r="I16" i="4"/>
  <c r="I10" i="4"/>
  <c r="I11" i="4"/>
  <c r="I25" i="4"/>
  <c r="I12" i="4"/>
  <c r="I27" i="4"/>
  <c r="I22" i="4"/>
  <c r="I23" i="4"/>
  <c r="I19" i="4"/>
  <c r="I14" i="4"/>
  <c r="I20" i="4"/>
  <c r="I26" i="4"/>
  <c r="I24" i="4"/>
  <c r="I9" i="4"/>
  <c r="I15" i="4"/>
  <c r="I21" i="4"/>
  <c r="C52" i="4" l="1"/>
  <c r="C51" i="4"/>
  <c r="I33" i="4"/>
  <c r="C18" i="6" l="1"/>
  <c r="D7" i="7"/>
  <c r="G151" i="16" l="1"/>
  <c r="G153" i="16" s="1"/>
  <c r="C184" i="16" l="1"/>
  <c r="C23" i="7" s="1"/>
  <c r="H151" i="16"/>
  <c r="C30" i="11"/>
  <c r="D23" i="7" l="1"/>
  <c r="C24" i="7"/>
  <c r="C25" i="7" s="1"/>
  <c r="D9" i="7" s="1"/>
  <c r="C28" i="20"/>
  <c r="E23" i="7" l="1"/>
  <c r="E24" i="7" s="1"/>
  <c r="D24" i="7"/>
  <c r="D25" i="7" s="1"/>
  <c r="E9" i="7" s="1"/>
  <c r="H92" i="16"/>
  <c r="C97" i="16" s="1"/>
  <c r="D97" i="16" s="1"/>
  <c r="G64" i="16"/>
  <c r="G92" i="16" s="1"/>
  <c r="E25" i="7" l="1"/>
  <c r="F9" i="7" s="1"/>
  <c r="C98" i="16"/>
  <c r="C27" i="11"/>
  <c r="C181" i="16"/>
  <c r="C8" i="7"/>
  <c r="C7" i="8" s="1"/>
  <c r="N7" i="8"/>
  <c r="M11" i="8" s="1"/>
  <c r="M12" i="8" s="1"/>
  <c r="C20" i="6" l="1"/>
  <c r="F20" i="6"/>
  <c r="G20" i="6"/>
  <c r="H20" i="6"/>
  <c r="I20" i="6"/>
  <c r="J20" i="6"/>
  <c r="K20" i="6"/>
  <c r="C10" i="8"/>
  <c r="C33" i="24" s="1"/>
  <c r="C11" i="6"/>
  <c r="E11" i="6"/>
  <c r="D11" i="6"/>
  <c r="D20" i="6" s="1"/>
  <c r="E97" i="16"/>
  <c r="D98" i="16"/>
  <c r="E20" i="6" l="1"/>
  <c r="I21" i="6"/>
  <c r="K21" i="6"/>
  <c r="J21" i="6"/>
  <c r="H21" i="6"/>
  <c r="G21" i="6"/>
  <c r="F21" i="6"/>
  <c r="C12" i="8"/>
  <c r="B24" i="8"/>
  <c r="C30" i="8" s="1"/>
  <c r="B25" i="8"/>
  <c r="C31" i="8" s="1"/>
  <c r="B23" i="8"/>
  <c r="F97" i="16"/>
  <c r="F98" i="16" s="1"/>
  <c r="E98" i="16"/>
  <c r="C29" i="8" l="1"/>
  <c r="C183" i="16"/>
  <c r="C28" i="11"/>
  <c r="C33" i="11" s="1"/>
  <c r="C61" i="11" l="1"/>
  <c r="C80" i="11" s="1"/>
  <c r="C81" i="11" s="1"/>
  <c r="C34" i="11"/>
  <c r="C36" i="11"/>
  <c r="C38" i="11" s="1"/>
  <c r="C46" i="11"/>
  <c r="C185" i="16"/>
  <c r="C26" i="20"/>
  <c r="C68" i="11" l="1"/>
  <c r="D70" i="11" s="1"/>
  <c r="C73" i="11"/>
  <c r="C72" i="11"/>
  <c r="C71" i="11"/>
  <c r="C70" i="11"/>
  <c r="C69" i="11"/>
  <c r="C51" i="11"/>
  <c r="C52" i="11" s="1"/>
  <c r="C44" i="11"/>
  <c r="D44" i="11" s="1"/>
  <c r="C40" i="11"/>
  <c r="C191" i="16"/>
  <c r="D185" i="16" s="1"/>
  <c r="C186" i="16"/>
  <c r="D7" i="20"/>
  <c r="E7" i="20" s="1"/>
  <c r="D9" i="20"/>
  <c r="E9" i="20" s="1"/>
  <c r="D8" i="20"/>
  <c r="E8" i="20" s="1"/>
  <c r="D71" i="11" l="1"/>
  <c r="D68" i="11"/>
  <c r="D73" i="11"/>
  <c r="D69" i="11"/>
  <c r="D72" i="11"/>
  <c r="C9" i="6"/>
  <c r="D190" i="16"/>
  <c r="D191" i="16"/>
  <c r="D182" i="16"/>
  <c r="D184" i="16"/>
  <c r="D180" i="16"/>
  <c r="D179" i="16"/>
  <c r="C193" i="16"/>
  <c r="C200" i="16"/>
  <c r="F9" i="20" s="1"/>
  <c r="G9" i="20" s="1"/>
  <c r="C199" i="16"/>
  <c r="D178" i="16"/>
  <c r="D181" i="16"/>
  <c r="D183" i="16"/>
  <c r="D9" i="6" l="1"/>
  <c r="C32" i="6"/>
  <c r="C33" i="6" s="1"/>
  <c r="D28" i="20"/>
  <c r="E28" i="20" s="1"/>
  <c r="D24" i="20"/>
  <c r="D25" i="20"/>
  <c r="D23" i="20"/>
  <c r="D27" i="20"/>
  <c r="E27" i="20" s="1"/>
  <c r="D29" i="20"/>
  <c r="E29" i="20" s="1"/>
  <c r="D26" i="20"/>
  <c r="E26" i="20" s="1"/>
  <c r="C24" i="26" s="1"/>
  <c r="C25" i="26" s="1"/>
  <c r="D25" i="26" s="1"/>
  <c r="C201" i="16"/>
  <c r="C197" i="16"/>
  <c r="C10" i="6"/>
  <c r="F7" i="20"/>
  <c r="G7" i="20" s="1"/>
  <c r="F8" i="20"/>
  <c r="G8" i="20" s="1"/>
  <c r="E9" i="6" l="1"/>
  <c r="E32" i="6" s="1"/>
  <c r="E33" i="6" s="1"/>
  <c r="D32" i="6"/>
  <c r="D33" i="6" s="1"/>
  <c r="G10" i="20"/>
  <c r="C12" i="6"/>
  <c r="D6" i="7"/>
  <c r="D10" i="6"/>
  <c r="C48" i="11"/>
  <c r="C49" i="11" s="1"/>
  <c r="C202" i="16"/>
  <c r="E23" i="20"/>
  <c r="D15" i="20"/>
  <c r="E15" i="20" s="1"/>
  <c r="F15" i="20" s="1"/>
  <c r="D17" i="20"/>
  <c r="E17" i="20" s="1"/>
  <c r="F17" i="20" s="1"/>
  <c r="E25" i="20"/>
  <c r="D16" i="20"/>
  <c r="E16" i="20" s="1"/>
  <c r="F16" i="20" s="1"/>
  <c r="E24" i="20"/>
  <c r="C14" i="6" l="1"/>
  <c r="C16" i="6" s="1"/>
  <c r="C19" i="6" s="1"/>
  <c r="C21" i="6" s="1"/>
  <c r="D10" i="7"/>
  <c r="F18" i="20"/>
  <c r="E30" i="20"/>
  <c r="F24" i="20"/>
  <c r="E10" i="6"/>
  <c r="D12" i="6"/>
  <c r="E6" i="7"/>
  <c r="D14" i="6" l="1"/>
  <c r="D16" i="6" s="1"/>
  <c r="D19" i="6" s="1"/>
  <c r="D21" i="6" s="1"/>
  <c r="C22" i="6"/>
  <c r="C34" i="6"/>
  <c r="D13" i="7"/>
  <c r="D7" i="8"/>
  <c r="F6" i="7"/>
  <c r="F10" i="7" s="1"/>
  <c r="E12" i="6"/>
  <c r="E10" i="7"/>
  <c r="E14" i="6" l="1"/>
  <c r="E16" i="6" s="1"/>
  <c r="E19" i="6" s="1"/>
  <c r="E21" i="6" s="1"/>
  <c r="D22" i="6"/>
  <c r="D34" i="6"/>
  <c r="E13" i="7"/>
  <c r="E7" i="8"/>
  <c r="E10" i="8" s="1"/>
  <c r="E12" i="8" s="1"/>
  <c r="F13" i="7"/>
  <c r="F7" i="8"/>
  <c r="F10" i="8" s="1"/>
  <c r="F12" i="8" s="1"/>
  <c r="C25" i="8" s="1"/>
  <c r="D10" i="8"/>
  <c r="D12" i="8" s="1"/>
  <c r="C18" i="8" l="1"/>
  <c r="E22" i="6"/>
  <c r="E34" i="6"/>
  <c r="C26" i="24"/>
  <c r="E26" i="24" s="1"/>
  <c r="C36" i="24" s="1"/>
  <c r="C23" i="8"/>
  <c r="D23" i="8" s="1"/>
  <c r="D29" i="8" s="1"/>
  <c r="C16" i="8"/>
  <c r="C14" i="8"/>
  <c r="C24" i="8"/>
  <c r="D24" i="8" l="1"/>
  <c r="D30" i="8" s="1"/>
  <c r="C35" i="24"/>
  <c r="C34" i="24"/>
  <c r="C39" i="24" l="1"/>
  <c r="L32" i="24" s="1"/>
  <c r="C40" i="24"/>
  <c r="M32" i="24" s="1"/>
  <c r="D25" i="8"/>
  <c r="D31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6" authorId="0" shapeId="0" xr:uid="{936D6CC2-21D5-4791-9906-A309C880F47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أختار 
(1 للتأمين بالراتب الفعلي) 
 (2 للتأمين بالحد الأدنى)</t>
        </r>
      </text>
    </comment>
    <comment ref="F21" authorId="0" shapeId="0" xr:uid="{139792F9-4D7B-4516-A380-BEA9166ECDE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اختيار1: 8 ساعات/7 أيام
اختيار2: 8 ساعات/6 أيام
اختيار3: 12 ساعة/7 أيام
اختيار4: 12 ساعة/6 أيام</t>
        </r>
      </text>
    </comment>
    <comment ref="C30" authorId="0" shapeId="0" xr:uid="{CD5BFF9C-C1CA-46B2-8D28-B261D3D2D89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تغطية أجازات
 أختار (1 مع)
(2 بدون)
(3 بدون مشرف)</t>
        </r>
      </text>
    </comment>
    <comment ref="C39" authorId="0" shapeId="0" xr:uid="{59400645-43DF-4419-9A1B-7025A4719CB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أختار
 1: 31 يوم
 2: 26 يوم</t>
        </r>
      </text>
    </comment>
    <comment ref="C189" authorId="0" shapeId="0" xr:uid="{9C881504-61EB-4B4D-A3CB-B15692766D2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أختار
 1: وفقا لساعات العمل 
2: وفقا لسعر البيع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4" authorId="0" shapeId="0" xr:uid="{39FEC02E-306D-40F7-AB50-4A76C37595B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مع الاعفاء الضريبي
2 بدون
</t>
        </r>
      </text>
    </comment>
    <comment ref="C6" authorId="0" shapeId="0" xr:uid="{0EAD62CB-6A47-4EBF-B9B0-557B5D77575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معدل الخصم
2 معدل الخصم بعد الاعفاء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<sst xmlns="http://schemas.openxmlformats.org/spreadsheetml/2006/main" count="759" uniqueCount="431">
  <si>
    <t>تكلفة العماله</t>
  </si>
  <si>
    <t>الوصف</t>
  </si>
  <si>
    <t>الراتب الأساسي</t>
  </si>
  <si>
    <t>مشرف</t>
  </si>
  <si>
    <t>عامل</t>
  </si>
  <si>
    <t>تأمينات</t>
  </si>
  <si>
    <t>ضريبة كسب عمل</t>
  </si>
  <si>
    <t>ضريبة صندوق الشهيد</t>
  </si>
  <si>
    <t>الاجمالي</t>
  </si>
  <si>
    <t>عدد العماله</t>
  </si>
  <si>
    <t>العدد المطلوب</t>
  </si>
  <si>
    <t>تغطية الأجازات</t>
  </si>
  <si>
    <t>أجمالي العدد</t>
  </si>
  <si>
    <t>الأجمالي</t>
  </si>
  <si>
    <t>تكلفة مورد الأفراد</t>
  </si>
  <si>
    <t>الورديات</t>
  </si>
  <si>
    <t xml:space="preserve">صباحية </t>
  </si>
  <si>
    <t>مسائية</t>
  </si>
  <si>
    <t>ليلية</t>
  </si>
  <si>
    <t>عدد العمال</t>
  </si>
  <si>
    <t>عدد النقلات</t>
  </si>
  <si>
    <t>تكلفة النقلة</t>
  </si>
  <si>
    <t>التكلفة اليومية</t>
  </si>
  <si>
    <t>تكلفة شهرية</t>
  </si>
  <si>
    <t>رايد اون</t>
  </si>
  <si>
    <t>توينتك كهرباء</t>
  </si>
  <si>
    <t>هوفر 2 موتور</t>
  </si>
  <si>
    <t>ترولي خدمات</t>
  </si>
  <si>
    <t>التكلفة</t>
  </si>
  <si>
    <t>الصيانة</t>
  </si>
  <si>
    <t>المستهلكات</t>
  </si>
  <si>
    <t>أكياس أزرق</t>
  </si>
  <si>
    <t>أكياس صغيرة</t>
  </si>
  <si>
    <t>فلات موب</t>
  </si>
  <si>
    <t>غيار فلات</t>
  </si>
  <si>
    <t>شراشيب</t>
  </si>
  <si>
    <t>فوط أرض</t>
  </si>
  <si>
    <t>فوط مكتب</t>
  </si>
  <si>
    <t>فوط زجاج</t>
  </si>
  <si>
    <t>بليدج</t>
  </si>
  <si>
    <t>جلانس</t>
  </si>
  <si>
    <t>ديتول</t>
  </si>
  <si>
    <t>لباد</t>
  </si>
  <si>
    <t>جاروف</t>
  </si>
  <si>
    <t>مقشات الهلال والنجمه</t>
  </si>
  <si>
    <t>مساحة 60 سم بلاستيك</t>
  </si>
  <si>
    <t>غيار مقص 1 متر</t>
  </si>
  <si>
    <t>بله واسكويزر</t>
  </si>
  <si>
    <t>صابون ارضيات</t>
  </si>
  <si>
    <t>سكينة معجون</t>
  </si>
  <si>
    <t>فرشة تواليت</t>
  </si>
  <si>
    <t>اسبونش</t>
  </si>
  <si>
    <t>زعافه</t>
  </si>
  <si>
    <t>عصا خشب</t>
  </si>
  <si>
    <t>الوحدة</t>
  </si>
  <si>
    <t>كيلو</t>
  </si>
  <si>
    <t>قطعه</t>
  </si>
  <si>
    <t>قطعة</t>
  </si>
  <si>
    <t>دسته</t>
  </si>
  <si>
    <t>زجاجة</t>
  </si>
  <si>
    <t>لتر</t>
  </si>
  <si>
    <t>عبوه</t>
  </si>
  <si>
    <t>الكمية</t>
  </si>
  <si>
    <t>التكلفة الحالية</t>
  </si>
  <si>
    <t>علامة تحذيرية</t>
  </si>
  <si>
    <t>سعر البيع</t>
  </si>
  <si>
    <t>مرتبات</t>
  </si>
  <si>
    <t>صيانة ماكينات</t>
  </si>
  <si>
    <t>أهلاكات ماكينات ومعدات</t>
  </si>
  <si>
    <t>أدوات ومستهلاكات</t>
  </si>
  <si>
    <t>مصاريف مباشرة</t>
  </si>
  <si>
    <t>أجمالي المصاريف المباشرة</t>
  </si>
  <si>
    <t>أجمالي الربح</t>
  </si>
  <si>
    <t>أجمالي التكلفة</t>
  </si>
  <si>
    <t>عدد المعدات</t>
  </si>
  <si>
    <t>تكلفة شحن ونقل المستهلكات</t>
  </si>
  <si>
    <t>أجمالي التكاليف</t>
  </si>
  <si>
    <t>صافي الدخل</t>
  </si>
  <si>
    <t>الدخل قبل الضريبة</t>
  </si>
  <si>
    <t>الصباحية</t>
  </si>
  <si>
    <t>المسائية</t>
  </si>
  <si>
    <t>الليلية</t>
  </si>
  <si>
    <t>سعر الفرد</t>
  </si>
  <si>
    <t>قسمة 12 شهر</t>
  </si>
  <si>
    <t>مدة الأهلاك 
بالشهر</t>
  </si>
  <si>
    <t>الأهلاك الشهري</t>
  </si>
  <si>
    <t>يونيفورم</t>
  </si>
  <si>
    <t>سلم 3 متر</t>
  </si>
  <si>
    <t>سلم 6 متر</t>
  </si>
  <si>
    <t>تأمين صحي شامل</t>
  </si>
  <si>
    <t>حساب التأمينات</t>
  </si>
  <si>
    <t>مدير</t>
  </si>
  <si>
    <t>الراتب التأميني</t>
  </si>
  <si>
    <t>نسبة الشركة 
18.75%</t>
  </si>
  <si>
    <t>نسبة العامل 
11%</t>
  </si>
  <si>
    <t>أجمالي التأمينات</t>
  </si>
  <si>
    <t>شقة</t>
  </si>
  <si>
    <t>الايجار</t>
  </si>
  <si>
    <t>أجمالي القيمة</t>
  </si>
  <si>
    <t>سكن عماله</t>
  </si>
  <si>
    <t>أجمالي العماله</t>
  </si>
  <si>
    <t>سكن عمال</t>
  </si>
  <si>
    <t>حساب المصاريف الغير مباشرة</t>
  </si>
  <si>
    <t>أدارية وعمومية وتشغيل</t>
  </si>
  <si>
    <t>حسب نسبة الربح</t>
  </si>
  <si>
    <t>العقود الحالية</t>
  </si>
  <si>
    <t>الفرع</t>
  </si>
  <si>
    <t>القيمة</t>
  </si>
  <si>
    <t>النسبة</t>
  </si>
  <si>
    <t>كارفور المعادي</t>
  </si>
  <si>
    <t>كارفور الماظه</t>
  </si>
  <si>
    <t>لولو</t>
  </si>
  <si>
    <t>كارفور كايرو</t>
  </si>
  <si>
    <t>كارفور مول مصر</t>
  </si>
  <si>
    <t>كارفور العبور</t>
  </si>
  <si>
    <t>كارفور داندي</t>
  </si>
  <si>
    <t>كارفور العبور صايلو</t>
  </si>
  <si>
    <t>كارفور 15 مايو</t>
  </si>
  <si>
    <t>كارفور 10 رمضان</t>
  </si>
  <si>
    <t>كارفور الواحات</t>
  </si>
  <si>
    <t>كارفور مدينتي</t>
  </si>
  <si>
    <t>كارفور السلام</t>
  </si>
  <si>
    <t>الحكمة أكتوبر</t>
  </si>
  <si>
    <t>الحكمة بدر</t>
  </si>
  <si>
    <t>فرع الدراسة</t>
  </si>
  <si>
    <t>Q1</t>
  </si>
  <si>
    <t>Q2</t>
  </si>
  <si>
    <t>Q3</t>
  </si>
  <si>
    <t>Q4</t>
  </si>
  <si>
    <t>IQR</t>
  </si>
  <si>
    <t>المصاريف 
الغير مباشرة</t>
  </si>
  <si>
    <t>قيمة الفرع</t>
  </si>
  <si>
    <t>FENCE AT 1.5 IQR</t>
  </si>
  <si>
    <t>عدد ساعات العمل 
في الشهر</t>
  </si>
  <si>
    <t>أجمالي ساعات العمل</t>
  </si>
  <si>
    <t>قيمة الساعة</t>
  </si>
  <si>
    <t>حسب عدد ساعات العماله</t>
  </si>
  <si>
    <t xml:space="preserve">مصاريف أداري وعمومية </t>
  </si>
  <si>
    <t>تأمين صحي</t>
  </si>
  <si>
    <t>صندوق الشهداء</t>
  </si>
  <si>
    <t>MARK-UP</t>
  </si>
  <si>
    <t>الأهلاك</t>
  </si>
  <si>
    <t>الفوائد</t>
  </si>
  <si>
    <t>الضرائب</t>
  </si>
  <si>
    <t>قائمة الدخل</t>
  </si>
  <si>
    <t>أجمالي الدخل</t>
  </si>
  <si>
    <t>أجمالي المصاريف</t>
  </si>
  <si>
    <t>الدخل قبل الضريبة والفوائد</t>
  </si>
  <si>
    <t xml:space="preserve">الدخل قبل الضريبة </t>
  </si>
  <si>
    <t>تدفقات نقدية</t>
  </si>
  <si>
    <t>الدخل قبل الفوائد والضريبة والاهلاك</t>
  </si>
  <si>
    <t>مصروفات رأسمالية</t>
  </si>
  <si>
    <t>تدفق نقدي من التشغيل</t>
  </si>
  <si>
    <t>أقساط قروض</t>
  </si>
  <si>
    <t>فوائد</t>
  </si>
  <si>
    <t>التدفق النقدي للمشروع</t>
  </si>
  <si>
    <t>ضرائب</t>
  </si>
  <si>
    <t>مشروع</t>
  </si>
  <si>
    <t>الدخل قبل الضريبة والفوائد والأهلاك</t>
  </si>
  <si>
    <t>التدفق المالي المخصوم</t>
  </si>
  <si>
    <t>صافي التدفق النقدي</t>
  </si>
  <si>
    <t>معدل الخصم</t>
  </si>
  <si>
    <t>القيمة الحالية للقيمة التخريدية</t>
  </si>
  <si>
    <t>التدفق المالي المخصوم بالقيمة التخريدية</t>
  </si>
  <si>
    <t>القيمة التخريدية</t>
  </si>
  <si>
    <t>المصروف الرأسمالي</t>
  </si>
  <si>
    <t>توينتك بطارية</t>
  </si>
  <si>
    <t>ماكينة تنظيف بالبخار</t>
  </si>
  <si>
    <t>هاي بريشر 140 بار</t>
  </si>
  <si>
    <t>هاي بريشر 180 بار</t>
  </si>
  <si>
    <t>الماكينات والمعدات</t>
  </si>
  <si>
    <t>INFLATION RATE</t>
  </si>
  <si>
    <t>EGYPT INDICATORS</t>
  </si>
  <si>
    <t>IN EGP</t>
  </si>
  <si>
    <t>ماكينة كنس شوارع يدوي</t>
  </si>
  <si>
    <t>هوفر 3 موتور</t>
  </si>
  <si>
    <t xml:space="preserve">العدد </t>
  </si>
  <si>
    <t>معدل العائد الداخلي-IRR</t>
  </si>
  <si>
    <t>معدل الربح-PI</t>
  </si>
  <si>
    <t>المتوسط</t>
  </si>
  <si>
    <t>الوسط</t>
  </si>
  <si>
    <t>ساعات العمل</t>
  </si>
  <si>
    <t>صافي التدفق المالي المخصوم-NPV</t>
  </si>
  <si>
    <t>FENCE AT +1.5 IQR</t>
  </si>
  <si>
    <t>ضريبة خصم من المنبع 3%</t>
  </si>
  <si>
    <t>صافي المبلغ المسدد للضرائب</t>
  </si>
  <si>
    <t>بدلات</t>
  </si>
  <si>
    <t>ترولي اداره</t>
  </si>
  <si>
    <t>ترولي بارك</t>
  </si>
  <si>
    <t>يد بول 3متر</t>
  </si>
  <si>
    <t>فلاش</t>
  </si>
  <si>
    <t>سلك</t>
  </si>
  <si>
    <t>لفه</t>
  </si>
  <si>
    <t>أكياس وسط</t>
  </si>
  <si>
    <t>مقشة شارع</t>
  </si>
  <si>
    <t>مساحة 60 سم استانلس</t>
  </si>
  <si>
    <t>جونتي تلميع</t>
  </si>
  <si>
    <t>نسبة التكاليف</t>
  </si>
  <si>
    <t>خرطوم مياه 100 متر</t>
  </si>
  <si>
    <t>طقم مقشه وجاروف أسود</t>
  </si>
  <si>
    <t>طقم</t>
  </si>
  <si>
    <t>هاي بريشر جرار "خدمة"</t>
  </si>
  <si>
    <t>ماكينة تنظيف سلالم</t>
  </si>
  <si>
    <t>الصنف</t>
  </si>
  <si>
    <t>هاند سوب</t>
  </si>
  <si>
    <t>معطر الجو جوي</t>
  </si>
  <si>
    <t>انفرتول</t>
  </si>
  <si>
    <t>جليد اتوماتيك</t>
  </si>
  <si>
    <t xml:space="preserve">حجارة </t>
  </si>
  <si>
    <t>سعر</t>
  </si>
  <si>
    <t>يخفف 20 لتر</t>
  </si>
  <si>
    <t>تأجير هاي بريشر</t>
  </si>
  <si>
    <t>RISK FREE RATE</t>
  </si>
  <si>
    <t>مورد نقل عماله</t>
  </si>
  <si>
    <t>أهلاك</t>
  </si>
  <si>
    <t>صيانه</t>
  </si>
  <si>
    <t>مستهلكات</t>
  </si>
  <si>
    <t>أجمالي السعر</t>
  </si>
  <si>
    <t>التكلفة المتغيرة</t>
  </si>
  <si>
    <t>رواتب</t>
  </si>
  <si>
    <t>ضريبة كسب العمل</t>
  </si>
  <si>
    <t>ضريبة الشهداء</t>
  </si>
  <si>
    <t>أجمالي</t>
  </si>
  <si>
    <t>مورد عماله</t>
  </si>
  <si>
    <t>سكن</t>
  </si>
  <si>
    <t>مصاريف أدارية</t>
  </si>
  <si>
    <t>دخل التشغيل</t>
  </si>
  <si>
    <t>تكلفة الفرد</t>
  </si>
  <si>
    <t>هامش المساهمة</t>
  </si>
  <si>
    <t>نقطة التعادل</t>
  </si>
  <si>
    <t>التكلفة الثابتة</t>
  </si>
  <si>
    <t>نسبة التكاليف المتغيرة</t>
  </si>
  <si>
    <t>نسبة التكاليف الثابتة</t>
  </si>
  <si>
    <t>نسبة هامش المساهمة</t>
  </si>
  <si>
    <t>ديتول اصلي</t>
  </si>
  <si>
    <t>معطر TCL</t>
  </si>
  <si>
    <t>سنجل ديسك صيني</t>
  </si>
  <si>
    <t>توينتك كهرباء مستعمل</t>
  </si>
  <si>
    <t>معطر جو جليد</t>
  </si>
  <si>
    <t>كلور</t>
  </si>
  <si>
    <t>غيار مقص 80</t>
  </si>
  <si>
    <t>جردل</t>
  </si>
  <si>
    <t>فرشة بلاط</t>
  </si>
  <si>
    <t xml:space="preserve">ضريبة </t>
  </si>
  <si>
    <t>مشبك موب معدن</t>
  </si>
  <si>
    <t>بليدج سائل</t>
  </si>
  <si>
    <t>850 ml</t>
  </si>
  <si>
    <t>رش الجو</t>
  </si>
  <si>
    <t>صابون  تكنو بلس</t>
  </si>
  <si>
    <t>850 ملي</t>
  </si>
  <si>
    <t>معطر فريده هوم</t>
  </si>
  <si>
    <t>المشرف</t>
  </si>
  <si>
    <t>العامل</t>
  </si>
  <si>
    <t>أجمالي تكلفة الفرد</t>
  </si>
  <si>
    <t>سعر بيع الفرد</t>
  </si>
  <si>
    <t>أجمالي سعر البيع</t>
  </si>
  <si>
    <t>مكافائات</t>
  </si>
  <si>
    <t xml:space="preserve">تكنو بلاس </t>
  </si>
  <si>
    <t>سنجل ديسك BOSS</t>
  </si>
  <si>
    <t>توينتك بطارية BOSS</t>
  </si>
  <si>
    <t>ترولي خدمات numatec</t>
  </si>
  <si>
    <t>مسحوق غسيل</t>
  </si>
  <si>
    <t>كيس*2.7 كيلو</t>
  </si>
  <si>
    <t>11 كيس</t>
  </si>
  <si>
    <t>40 كيس</t>
  </si>
  <si>
    <t>صينية أدوات</t>
  </si>
  <si>
    <t>سي فولد</t>
  </si>
  <si>
    <t>باله</t>
  </si>
  <si>
    <t>بكر</t>
  </si>
  <si>
    <t>هاند شاور</t>
  </si>
  <si>
    <t>جركن</t>
  </si>
  <si>
    <t>مناديل 400 بكر</t>
  </si>
  <si>
    <t>ملمع استانلس</t>
  </si>
  <si>
    <t>AVERAGE BETA</t>
  </si>
  <si>
    <t>EQ RISK PREMIUM</t>
  </si>
  <si>
    <t>TOTAL COST OF EQ</t>
  </si>
  <si>
    <t>COST OF EQ</t>
  </si>
  <si>
    <t>COST OF DEBT</t>
  </si>
  <si>
    <t>DEBT INTEREST RATE</t>
  </si>
  <si>
    <t>TAX RATE</t>
  </si>
  <si>
    <t>WACC</t>
  </si>
  <si>
    <t>COST OF EQUITY</t>
  </si>
  <si>
    <t>EQ PROPORTION</t>
  </si>
  <si>
    <t>TAX SHIELD</t>
  </si>
  <si>
    <t>DEBT PROPORTION</t>
  </si>
  <si>
    <t>WACC CALCULATOR</t>
  </si>
  <si>
    <t xml:space="preserve">WACC </t>
  </si>
  <si>
    <t>MARK UP</t>
  </si>
  <si>
    <t>أهلاكات ماكينات ومعدات وصيانة</t>
  </si>
  <si>
    <t>السعر</t>
  </si>
  <si>
    <t>عرض سعر</t>
  </si>
  <si>
    <t>وجبات</t>
  </si>
  <si>
    <t>وجبة</t>
  </si>
  <si>
    <t>يونيفورم/حذاء أمان</t>
  </si>
  <si>
    <t>باسكت قمامه اسود</t>
  </si>
  <si>
    <t>براويطه</t>
  </si>
  <si>
    <t>كوريك رفع اتربة</t>
  </si>
  <si>
    <t>Q</t>
  </si>
  <si>
    <t>%</t>
  </si>
  <si>
    <t>TOTAL</t>
  </si>
  <si>
    <t xml:space="preserve">زيادة </t>
  </si>
  <si>
    <t>NET-MARK-UP</t>
  </si>
  <si>
    <t>OPE.LEVERAGE</t>
  </si>
  <si>
    <t>سعر بيع عماله</t>
  </si>
  <si>
    <t>أجمالي سعر بيع غير مفصل</t>
  </si>
  <si>
    <t>أجمالي سعر بيع مفصل</t>
  </si>
  <si>
    <t>Loan Schedule</t>
  </si>
  <si>
    <t>Number of periods</t>
  </si>
  <si>
    <t>Interest rate (annual)</t>
  </si>
  <si>
    <t>Interest rate (monthly)</t>
  </si>
  <si>
    <t>Period</t>
  </si>
  <si>
    <t>Payment</t>
  </si>
  <si>
    <t>Interest</t>
  </si>
  <si>
    <t>Principal</t>
  </si>
  <si>
    <t>Residual Debt</t>
  </si>
  <si>
    <t>Monthly payment (EGP)</t>
  </si>
  <si>
    <t>Insert</t>
  </si>
  <si>
    <t>Year</t>
  </si>
  <si>
    <t>توريدات</t>
  </si>
  <si>
    <t>AVR%</t>
  </si>
  <si>
    <t>PRICE INCREASE</t>
  </si>
  <si>
    <t>كمية</t>
  </si>
  <si>
    <t>زيادة</t>
  </si>
  <si>
    <t>Discount rate</t>
  </si>
  <si>
    <t>قيم العقود وعدد الساعات</t>
  </si>
  <si>
    <t xml:space="preserve">لوحة بيانات </t>
  </si>
  <si>
    <t>سعر بيع مستهدف</t>
  </si>
  <si>
    <t>تكلفة مستهدفة</t>
  </si>
  <si>
    <t>صافي ربح مستهدف</t>
  </si>
  <si>
    <t>هامش ربح مستهدف</t>
  </si>
  <si>
    <t>سعر بيع وتكلفه مستهدفه</t>
  </si>
  <si>
    <t>الراتب الإجمالي</t>
  </si>
  <si>
    <t>نسبة الموظف من التأمينات</t>
  </si>
  <si>
    <t>الوعاء الضريبي</t>
  </si>
  <si>
    <t>صافي الراتب</t>
  </si>
  <si>
    <t>نسبة الشركة من التأمينات</t>
  </si>
  <si>
    <t>أجمالي تكلفة العامل على الشركة</t>
  </si>
  <si>
    <t>تأمين بالراتب الأساسي</t>
  </si>
  <si>
    <t>تأمين بالحد الأدنى</t>
  </si>
  <si>
    <t>التكلفة الشهرية 36 شهر</t>
  </si>
  <si>
    <t xml:space="preserve">معطر </t>
  </si>
  <si>
    <t>جركن 10 لتر</t>
  </si>
  <si>
    <t>NET PROFIT MARGIN</t>
  </si>
  <si>
    <t>كارفور فيتالي</t>
  </si>
  <si>
    <t>كارفور C3 NEW CAIRO</t>
  </si>
  <si>
    <t>ليك تاون</t>
  </si>
  <si>
    <t>كارفور تاج سيتي</t>
  </si>
  <si>
    <t>كارفور كليوبترا</t>
  </si>
  <si>
    <t>معدل تصخم 15% من السنة الثانية</t>
  </si>
  <si>
    <t>سعر الفرد بسعر التكلفة</t>
  </si>
  <si>
    <t>الأجمالي بسعر التكلفة</t>
  </si>
  <si>
    <t>لولو بارك مول</t>
  </si>
  <si>
    <t>لولو التجمع</t>
  </si>
  <si>
    <t>لولو العبور</t>
  </si>
  <si>
    <t>تونجر شحن</t>
  </si>
  <si>
    <t>بطارية رايد اون</t>
  </si>
  <si>
    <t>فرش رايد اون</t>
  </si>
  <si>
    <t>year 1</t>
  </si>
  <si>
    <t>year 2</t>
  </si>
  <si>
    <t>year 3</t>
  </si>
  <si>
    <t>التغير في رأس المال العامل</t>
  </si>
  <si>
    <t>الايراد</t>
  </si>
  <si>
    <t>الرواتب</t>
  </si>
  <si>
    <t>المورد</t>
  </si>
  <si>
    <t>المستهلاكات</t>
  </si>
  <si>
    <t>رأس المال العامل</t>
  </si>
  <si>
    <t>استرداد رأس المال</t>
  </si>
  <si>
    <t>CF</t>
  </si>
  <si>
    <t>YRS</t>
  </si>
  <si>
    <t>SDTV</t>
  </si>
  <si>
    <t>YR</t>
  </si>
  <si>
    <t>NPV</t>
  </si>
  <si>
    <t>IRR</t>
  </si>
  <si>
    <t>REPLICATION</t>
  </si>
  <si>
    <t>MEAN</t>
  </si>
  <si>
    <t>MEDIAN</t>
  </si>
  <si>
    <t>MAX</t>
  </si>
  <si>
    <t>MIN</t>
  </si>
  <si>
    <t>Monte Carlo Simulation</t>
  </si>
  <si>
    <t>زيادة العقد</t>
  </si>
  <si>
    <t>التضخم</t>
  </si>
  <si>
    <t xml:space="preserve">دراسة جدوى مالية مشروع </t>
  </si>
  <si>
    <t>صافي الدخل المعدل</t>
  </si>
  <si>
    <t>تكلفة الفرصة البديلة لرأس المال</t>
  </si>
  <si>
    <t>القيمة الاقتصادية المضافة</t>
  </si>
  <si>
    <t xml:space="preserve">نسبة الصيانه </t>
  </si>
  <si>
    <t>ABC</t>
  </si>
  <si>
    <t xml:space="preserve"> العماله</t>
  </si>
  <si>
    <t xml:space="preserve"> المعدات</t>
  </si>
  <si>
    <t xml:space="preserve"> المستهلاكات</t>
  </si>
  <si>
    <t xml:space="preserve"> توزيع التكاليف</t>
  </si>
  <si>
    <t xml:space="preserve"> KPI</t>
  </si>
  <si>
    <t>العام</t>
  </si>
  <si>
    <t>العائد على الاستثمار بالقيمة الاقتصادية المضافة</t>
  </si>
  <si>
    <t>PROFIT MARGIN</t>
  </si>
  <si>
    <t>التكلفة المتغيرة للفرد</t>
  </si>
  <si>
    <t>سعر البيع للفرد</t>
  </si>
  <si>
    <t>اجمالي التكلفة</t>
  </si>
  <si>
    <t>اجمالي الايردات</t>
  </si>
  <si>
    <t>رسم بياني</t>
  </si>
  <si>
    <t>أجمالي الإيرادات</t>
  </si>
  <si>
    <t>تكلفة متغيرة</t>
  </si>
  <si>
    <t>تكلفة ثابتة</t>
  </si>
  <si>
    <t>الربح</t>
  </si>
  <si>
    <t xml:space="preserve">Loan Amount </t>
  </si>
  <si>
    <t>اختيار1: 8 ساعات/7 أيام</t>
  </si>
  <si>
    <t>اختيار2: 8 ساعات/6 أيام</t>
  </si>
  <si>
    <t>اختيار3: 12 ساعة/7 أيام</t>
  </si>
  <si>
    <t>اختيار4: 12 ساعة/6 أيام</t>
  </si>
  <si>
    <t>تكلفة العمالة</t>
  </si>
  <si>
    <t>عدد العمالة</t>
  </si>
  <si>
    <t>اجمالي العمالة</t>
  </si>
  <si>
    <t>تكلفة مورد الافراد</t>
  </si>
  <si>
    <t>مصاريف إدارية</t>
  </si>
  <si>
    <t>مدخلات</t>
  </si>
  <si>
    <t>السنة</t>
  </si>
  <si>
    <t>الاهلاك</t>
  </si>
  <si>
    <t>الفترة</t>
  </si>
  <si>
    <t>معدل الخصم بعد الاعفاء الضريبي</t>
  </si>
  <si>
    <t>معدل العائد المطلوب</t>
  </si>
  <si>
    <t>صافي قيمة الأصول</t>
  </si>
  <si>
    <t>قيمة القسط قبل الضرائب</t>
  </si>
  <si>
    <t>قيمة القسط بعد الضرائب</t>
  </si>
  <si>
    <t>ايجار المعدات</t>
  </si>
  <si>
    <t>الإجمالي</t>
  </si>
  <si>
    <t>ايجار الأصول</t>
  </si>
  <si>
    <t>قيمة الأصل في حالة التأجير التشغيلي</t>
  </si>
  <si>
    <t>قيمة القسط</t>
  </si>
  <si>
    <t xml:space="preserve">سعر بيع الأصول </t>
  </si>
  <si>
    <t>القيمة الحالية لسعر البيع</t>
  </si>
  <si>
    <r>
      <t>حاسبة رواتب</t>
    </r>
    <r>
      <rPr>
        <b/>
        <sz val="12"/>
        <color theme="0"/>
        <rFont val="Arial"/>
        <family val="2"/>
      </rPr>
      <t xml:space="preserve">
Click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</si>
</sst>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£&quot;#,##0.00;[Red]\-&quot;£&quot;#,##0.00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0.0%"/>
    <numFmt numFmtId="167" formatCode="_(* #,##0.0_);_(* \(#,##0.0\);_(* &quot;-&quot;??_);_(@_)"/>
    <numFmt numFmtId="168" formatCode="[$EGP]\ #,##0.00_);[Red]\([$EGP]\ #,##0.00\)"/>
    <numFmt numFmtId="169" formatCode="_-* #,##0_-;\-* #,##0_-;_-* &quot;-&quot;??_-;_-@_-"/>
    <numFmt numFmtId="170" formatCode="_-[$£-809]* #,##0.00_-;\-[$£-809]* #,##0.00_-;_-[$£-809]* &quot;-&quot;??_-;_-@_-"/>
  </numFmts>
  <fonts count="6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8"/>
      <color rgb="FF002060"/>
      <name val="Arial"/>
      <family val="2"/>
    </font>
    <font>
      <b/>
      <sz val="14"/>
      <color rgb="FF002060"/>
      <name val="Arial"/>
      <family val="2"/>
    </font>
    <font>
      <b/>
      <u/>
      <sz val="18"/>
      <color rgb="FF002060"/>
      <name val="Arial"/>
      <family val="2"/>
    </font>
    <font>
      <b/>
      <sz val="16"/>
      <color rgb="FF002060"/>
      <name val="Arial"/>
      <family val="2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002060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theme="3" tint="-0.249977111117893"/>
      <name val="Calibri"/>
      <family val="2"/>
      <scheme val="minor"/>
    </font>
    <font>
      <b/>
      <sz val="12"/>
      <color theme="3" tint="-0.249977111117893"/>
      <name val="Calibri"/>
      <family val="2"/>
      <scheme val="minor"/>
    </font>
    <font>
      <b/>
      <u/>
      <sz val="12"/>
      <color theme="3" tint="-0.249977111117893"/>
      <name val="Calibri"/>
      <family val="2"/>
      <scheme val="minor"/>
    </font>
    <font>
      <b/>
      <sz val="18"/>
      <color theme="3"/>
      <name val="Arial"/>
      <family val="2"/>
    </font>
    <font>
      <b/>
      <sz val="14"/>
      <color theme="3"/>
      <name val="Arial"/>
      <family val="2"/>
    </font>
    <font>
      <b/>
      <sz val="15"/>
      <color theme="1"/>
      <name val="Arial"/>
      <family val="2"/>
    </font>
    <font>
      <b/>
      <sz val="20"/>
      <color rgb="FF002060"/>
      <name val="Arial"/>
      <family val="2"/>
    </font>
    <font>
      <sz val="14"/>
      <color rgb="FFC00000"/>
      <name val="Arial"/>
      <family val="2"/>
    </font>
    <font>
      <u/>
      <sz val="12"/>
      <color rgb="FF002060"/>
      <name val="Arial"/>
      <family val="2"/>
    </font>
    <font>
      <sz val="12"/>
      <color rgb="FF002060"/>
      <name val="Arial"/>
      <family val="2"/>
    </font>
    <font>
      <b/>
      <u/>
      <sz val="12"/>
      <color rgb="FF002060"/>
      <name val="Arial"/>
      <family val="2"/>
    </font>
    <font>
      <b/>
      <sz val="12"/>
      <color rgb="FF002060"/>
      <name val="Calibri"/>
      <family val="2"/>
      <scheme val="minor"/>
    </font>
    <font>
      <b/>
      <sz val="11"/>
      <color rgb="FF00206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1"/>
      <color theme="1"/>
      <name val="Arial"/>
      <family val="2"/>
    </font>
    <font>
      <b/>
      <sz val="12"/>
      <color theme="9" tint="-0.249977111117893"/>
      <name val="Arial"/>
      <family val="2"/>
    </font>
    <font>
      <sz val="10"/>
      <color rgb="FF002060"/>
      <name val="Arial"/>
      <family val="2"/>
    </font>
    <font>
      <sz val="16"/>
      <color rgb="FF002060"/>
      <name val="Arial"/>
      <family val="2"/>
    </font>
    <font>
      <sz val="12"/>
      <color theme="4" tint="0.79998168889431442"/>
      <name val="Arial"/>
      <family val="2"/>
    </font>
    <font>
      <b/>
      <sz val="24"/>
      <color rgb="FF002060"/>
      <name val="Arial"/>
      <family val="2"/>
    </font>
    <font>
      <b/>
      <u/>
      <sz val="11"/>
      <color rgb="FF002060"/>
      <name val="Arial"/>
      <family val="2"/>
    </font>
    <font>
      <sz val="14"/>
      <color rgb="FF002060"/>
      <name val="Arial"/>
      <family val="2"/>
    </font>
    <font>
      <b/>
      <u/>
      <sz val="18"/>
      <color theme="4" tint="0.79998168889431442"/>
      <name val="Arial"/>
      <family val="2"/>
    </font>
    <font>
      <b/>
      <sz val="14"/>
      <color theme="0"/>
      <name val="Arial"/>
      <family val="2"/>
    </font>
    <font>
      <sz val="14"/>
      <color theme="0"/>
      <name val="Arial"/>
      <family val="2"/>
    </font>
    <font>
      <b/>
      <u/>
      <sz val="16"/>
      <color rgb="FF002060"/>
      <name val="Arial"/>
      <family val="2"/>
    </font>
    <font>
      <b/>
      <sz val="14"/>
      <color theme="9" tint="-0.249977111117893"/>
      <name val="Arial"/>
      <family val="2"/>
    </font>
    <font>
      <b/>
      <u/>
      <sz val="18"/>
      <color theme="0"/>
      <name val="Arial"/>
      <family val="2"/>
    </font>
    <font>
      <b/>
      <sz val="18"/>
      <color theme="0"/>
      <name val="Arial"/>
      <family val="2"/>
    </font>
    <font>
      <b/>
      <sz val="12"/>
      <color theme="8" tint="0.79998168889431442"/>
      <name val="Arial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Arial"/>
      <family val="2"/>
    </font>
    <font>
      <sz val="14"/>
      <color theme="1" tint="4.9989318521683403E-2"/>
      <name val="Arial"/>
      <family val="2"/>
    </font>
    <font>
      <b/>
      <sz val="14"/>
      <name val="Arial"/>
      <family val="2"/>
    </font>
    <font>
      <b/>
      <sz val="12"/>
      <color theme="1"/>
      <name val="Calibri"/>
      <family val="2"/>
      <scheme val="minor"/>
    </font>
    <font>
      <b/>
      <sz val="12.5"/>
      <color rgb="FF002060"/>
      <name val="Arial"/>
      <family val="2"/>
    </font>
    <font>
      <b/>
      <u/>
      <sz val="14"/>
      <color rgb="FF002060"/>
      <name val="Arial"/>
      <family val="2"/>
    </font>
    <font>
      <sz val="14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8"/>
      <color theme="1"/>
      <name val="Calibri"/>
      <family val="2"/>
      <scheme val="minor"/>
    </font>
    <font>
      <b/>
      <sz val="14"/>
      <color rgb="FFC00000"/>
      <name val="Arial"/>
      <family val="2"/>
    </font>
    <font>
      <b/>
      <sz val="12"/>
      <color theme="8" tint="-0.249977111117893"/>
      <name val="Arial"/>
      <family val="2"/>
    </font>
    <font>
      <b/>
      <sz val="16"/>
      <color theme="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89999084444715716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/>
      <top/>
      <bottom style="medium">
        <color rgb="FF0020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002060"/>
      </bottom>
      <diagonal/>
    </border>
    <border>
      <left style="thin">
        <color indexed="64"/>
      </left>
      <right style="thin">
        <color indexed="64"/>
      </right>
      <top style="thick">
        <color rgb="FF002060"/>
      </top>
      <bottom style="thick">
        <color rgb="FF002060"/>
      </bottom>
      <diagonal/>
    </border>
    <border>
      <left style="thin">
        <color indexed="64"/>
      </left>
      <right/>
      <top style="thin">
        <color indexed="64"/>
      </top>
      <bottom style="thick">
        <color rgb="FF002060"/>
      </bottom>
      <diagonal/>
    </border>
    <border>
      <left/>
      <right/>
      <top style="thin">
        <color indexed="64"/>
      </top>
      <bottom style="thick">
        <color rgb="FF002060"/>
      </bottom>
      <diagonal/>
    </border>
    <border>
      <left/>
      <right style="thin">
        <color indexed="64"/>
      </right>
      <top style="thin">
        <color indexed="64"/>
      </top>
      <bottom style="thick">
        <color rgb="FF002060"/>
      </bottom>
      <diagonal/>
    </border>
    <border>
      <left style="thin">
        <color indexed="64"/>
      </left>
      <right/>
      <top style="thick">
        <color rgb="FF002060"/>
      </top>
      <bottom style="thick">
        <color rgb="FF002060"/>
      </bottom>
      <diagonal/>
    </border>
    <border>
      <left/>
      <right/>
      <top style="thick">
        <color rgb="FF002060"/>
      </top>
      <bottom style="thick">
        <color rgb="FF002060"/>
      </bottom>
      <diagonal/>
    </border>
    <border>
      <left/>
      <right style="thin">
        <color indexed="64"/>
      </right>
      <top style="thick">
        <color rgb="FF002060"/>
      </top>
      <bottom style="thick">
        <color rgb="FF0020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rgb="FF002060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ck">
        <color rgb="FF002060"/>
      </left>
      <right style="thick">
        <color rgb="FF002060"/>
      </right>
      <top style="thick">
        <color rgb="FF002060"/>
      </top>
      <bottom style="thick">
        <color rgb="FF002060"/>
      </bottom>
      <diagonal/>
    </border>
    <border>
      <left style="thick">
        <color rgb="FF002060"/>
      </left>
      <right style="thin">
        <color indexed="64"/>
      </right>
      <top style="thick">
        <color rgb="FF002060"/>
      </top>
      <bottom style="thick">
        <color rgb="FF002060"/>
      </bottom>
      <diagonal/>
    </border>
    <border>
      <left style="thin">
        <color indexed="64"/>
      </left>
      <right style="thick">
        <color rgb="FF002060"/>
      </right>
      <top style="thick">
        <color rgb="FF002060"/>
      </top>
      <bottom style="thick">
        <color rgb="FF00206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ck">
        <color rgb="FF002060"/>
      </top>
      <bottom style="medium">
        <color rgb="FF002060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4" fontId="10" fillId="0" borderId="0" applyFont="0" applyFill="0" applyBorder="0">
      <alignment horizontal="right"/>
    </xf>
    <xf numFmtId="0" fontId="12" fillId="0" borderId="0" applyNumberFormat="0" applyFill="0" applyBorder="0" applyAlignment="0" applyProtection="0"/>
  </cellStyleXfs>
  <cellXfs count="295">
    <xf numFmtId="0" fontId="0" fillId="0" borderId="0" xfId="0"/>
    <xf numFmtId="3" fontId="3" fillId="0" borderId="0" xfId="0" applyNumberFormat="1" applyFont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/>
    </xf>
    <xf numFmtId="3" fontId="6" fillId="0" borderId="5" xfId="0" applyNumberFormat="1" applyFont="1" applyBorder="1" applyAlignment="1">
      <alignment horizontal="center" vertical="center"/>
    </xf>
    <xf numFmtId="3" fontId="6" fillId="0" borderId="6" xfId="0" applyNumberFormat="1" applyFont="1" applyBorder="1" applyAlignment="1">
      <alignment horizontal="center" vertical="center"/>
    </xf>
    <xf numFmtId="3" fontId="7" fillId="0" borderId="6" xfId="0" applyNumberFormat="1" applyFont="1" applyBorder="1" applyAlignment="1">
      <alignment horizontal="center" vertical="center"/>
    </xf>
    <xf numFmtId="3" fontId="6" fillId="0" borderId="5" xfId="0" applyNumberFormat="1" applyFont="1" applyBorder="1" applyAlignment="1">
      <alignment horizontal="center" vertical="center" wrapText="1"/>
    </xf>
    <xf numFmtId="3" fontId="8" fillId="0" borderId="6" xfId="0" applyNumberFormat="1" applyFont="1" applyBorder="1" applyAlignment="1">
      <alignment horizontal="center" vertical="center"/>
    </xf>
    <xf numFmtId="3" fontId="5" fillId="0" borderId="5" xfId="0" applyNumberFormat="1" applyFont="1" applyBorder="1" applyAlignment="1">
      <alignment horizontal="center" vertical="center"/>
    </xf>
    <xf numFmtId="9" fontId="6" fillId="0" borderId="6" xfId="1" applyFont="1" applyFill="1" applyBorder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3" fontId="6" fillId="0" borderId="13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center" vertical="center"/>
    </xf>
    <xf numFmtId="9" fontId="6" fillId="0" borderId="1" xfId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 wrapText="1"/>
    </xf>
    <xf numFmtId="0" fontId="9" fillId="5" borderId="0" xfId="0" applyFont="1" applyFill="1"/>
    <xf numFmtId="0" fontId="9" fillId="0" borderId="0" xfId="0" applyFont="1"/>
    <xf numFmtId="0" fontId="6" fillId="5" borderId="4" xfId="0" applyFont="1" applyFill="1" applyBorder="1"/>
    <xf numFmtId="0" fontId="3" fillId="5" borderId="0" xfId="0" applyFont="1" applyFill="1"/>
    <xf numFmtId="165" fontId="3" fillId="5" borderId="0" xfId="2" applyNumberFormat="1" applyFont="1" applyFill="1" applyBorder="1"/>
    <xf numFmtId="0" fontId="4" fillId="5" borderId="14" xfId="0" applyFont="1" applyFill="1" applyBorder="1"/>
    <xf numFmtId="165" fontId="4" fillId="5" borderId="14" xfId="0" applyNumberFormat="1" applyFont="1" applyFill="1" applyBorder="1"/>
    <xf numFmtId="0" fontId="6" fillId="5" borderId="15" xfId="0" applyFont="1" applyFill="1" applyBorder="1"/>
    <xf numFmtId="165" fontId="6" fillId="5" borderId="15" xfId="0" applyNumberFormat="1" applyFont="1" applyFill="1" applyBorder="1"/>
    <xf numFmtId="0" fontId="6" fillId="5" borderId="4" xfId="0" applyFont="1" applyFill="1" applyBorder="1" applyAlignment="1">
      <alignment horizontal="right"/>
    </xf>
    <xf numFmtId="165" fontId="3" fillId="5" borderId="0" xfId="2" applyNumberFormat="1" applyFont="1" applyFill="1" applyBorder="1" applyAlignment="1">
      <alignment horizontal="left"/>
    </xf>
    <xf numFmtId="165" fontId="4" fillId="5" borderId="14" xfId="2" applyNumberFormat="1" applyFont="1" applyFill="1" applyBorder="1"/>
    <xf numFmtId="165" fontId="3" fillId="5" borderId="14" xfId="2" applyNumberFormat="1" applyFont="1" applyFill="1" applyBorder="1"/>
    <xf numFmtId="165" fontId="4" fillId="5" borderId="0" xfId="2" applyNumberFormat="1" applyFont="1" applyFill="1" applyBorder="1"/>
    <xf numFmtId="165" fontId="3" fillId="5" borderId="0" xfId="2" applyNumberFormat="1" applyFont="1" applyFill="1" applyBorder="1" applyAlignment="1">
      <alignment horizontal="right"/>
    </xf>
    <xf numFmtId="3" fontId="4" fillId="0" borderId="2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11" fillId="5" borderId="4" xfId="0" applyFont="1" applyFill="1" applyBorder="1"/>
    <xf numFmtId="3" fontId="6" fillId="0" borderId="0" xfId="0" applyNumberFormat="1" applyFont="1" applyAlignment="1">
      <alignment vertical="center"/>
    </xf>
    <xf numFmtId="3" fontId="5" fillId="0" borderId="17" xfId="0" applyNumberFormat="1" applyFont="1" applyBorder="1" applyAlignment="1">
      <alignment horizontal="center" vertical="center"/>
    </xf>
    <xf numFmtId="3" fontId="5" fillId="0" borderId="18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3" fontId="6" fillId="0" borderId="19" xfId="0" applyNumberFormat="1" applyFont="1" applyBorder="1" applyAlignment="1">
      <alignment horizontal="center" vertical="center" wrapText="1"/>
    </xf>
    <xf numFmtId="9" fontId="3" fillId="0" borderId="0" xfId="1" applyFont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9" fontId="4" fillId="6" borderId="1" xfId="1" applyFont="1" applyFill="1" applyBorder="1" applyAlignment="1">
      <alignment horizontal="center" vertical="center"/>
    </xf>
    <xf numFmtId="0" fontId="13" fillId="0" borderId="0" xfId="0" applyFont="1"/>
    <xf numFmtId="0" fontId="14" fillId="5" borderId="0" xfId="0" applyFont="1" applyFill="1"/>
    <xf numFmtId="0" fontId="15" fillId="5" borderId="0" xfId="4" applyFont="1" applyFill="1"/>
    <xf numFmtId="0" fontId="3" fillId="0" borderId="0" xfId="0" applyFont="1"/>
    <xf numFmtId="0" fontId="16" fillId="0" borderId="18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3" fontId="17" fillId="0" borderId="1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3" fontId="18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16" fillId="0" borderId="18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3" fontId="17" fillId="0" borderId="0" xfId="0" applyNumberFormat="1" applyFont="1" applyAlignment="1">
      <alignment horizontal="center" vertical="center"/>
    </xf>
    <xf numFmtId="9" fontId="16" fillId="0" borderId="18" xfId="1" applyFont="1" applyBorder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3" fontId="3" fillId="0" borderId="0" xfId="0" applyNumberFormat="1" applyFont="1"/>
    <xf numFmtId="166" fontId="4" fillId="6" borderId="1" xfId="1" applyNumberFormat="1" applyFont="1" applyFill="1" applyBorder="1" applyAlignment="1">
      <alignment horizontal="center" vertical="center"/>
    </xf>
    <xf numFmtId="3" fontId="5" fillId="0" borderId="3" xfId="0" applyNumberFormat="1" applyFont="1" applyBorder="1" applyAlignment="1">
      <alignment vertical="center"/>
    </xf>
    <xf numFmtId="3" fontId="5" fillId="0" borderId="4" xfId="0" applyNumberFormat="1" applyFont="1" applyBorder="1" applyAlignment="1">
      <alignment vertical="center"/>
    </xf>
    <xf numFmtId="3" fontId="5" fillId="0" borderId="3" xfId="0" applyNumberFormat="1" applyFont="1" applyBorder="1" applyAlignment="1">
      <alignment horizontal="right" vertical="center"/>
    </xf>
    <xf numFmtId="0" fontId="22" fillId="0" borderId="0" xfId="0" applyFont="1"/>
    <xf numFmtId="0" fontId="8" fillId="4" borderId="24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21" xfId="4" applyFont="1" applyBorder="1" applyAlignment="1">
      <alignment horizontal="center" vertical="center"/>
    </xf>
    <xf numFmtId="10" fontId="11" fillId="0" borderId="21" xfId="0" applyNumberFormat="1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23" fillId="0" borderId="22" xfId="4" applyFont="1" applyBorder="1" applyAlignment="1">
      <alignment horizontal="center" vertical="center"/>
    </xf>
    <xf numFmtId="10" fontId="11" fillId="0" borderId="22" xfId="0" applyNumberFormat="1" applyFont="1" applyBorder="1" applyAlignment="1">
      <alignment horizontal="center" vertical="center"/>
    </xf>
    <xf numFmtId="0" fontId="6" fillId="4" borderId="23" xfId="0" applyFont="1" applyFill="1" applyBorder="1" applyAlignment="1">
      <alignment horizontal="center" vertical="center"/>
    </xf>
    <xf numFmtId="10" fontId="6" fillId="4" borderId="23" xfId="0" applyNumberFormat="1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19" fillId="4" borderId="24" xfId="0" applyFont="1" applyFill="1" applyBorder="1" applyAlignment="1">
      <alignment horizontal="center" vertical="center"/>
    </xf>
    <xf numFmtId="10" fontId="11" fillId="7" borderId="21" xfId="0" applyNumberFormat="1" applyFont="1" applyFill="1" applyBorder="1" applyAlignment="1">
      <alignment horizontal="center" vertical="center"/>
    </xf>
    <xf numFmtId="166" fontId="4" fillId="5" borderId="0" xfId="1" applyNumberFormat="1" applyFont="1" applyFill="1" applyBorder="1"/>
    <xf numFmtId="0" fontId="24" fillId="0" borderId="0" xfId="0" applyFont="1" applyAlignment="1">
      <alignment horizontal="center"/>
    </xf>
    <xf numFmtId="4" fontId="6" fillId="0" borderId="6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3" fontId="11" fillId="0" borderId="5" xfId="0" applyNumberFormat="1" applyFont="1" applyBorder="1" applyAlignment="1">
      <alignment horizontal="center" vertical="center"/>
    </xf>
    <xf numFmtId="4" fontId="6" fillId="0" borderId="5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3" fontId="11" fillId="0" borderId="17" xfId="0" applyNumberFormat="1" applyFont="1" applyBorder="1" applyAlignment="1">
      <alignment horizontal="center" vertical="center"/>
    </xf>
    <xf numFmtId="9" fontId="6" fillId="0" borderId="5" xfId="1" applyFont="1" applyBorder="1" applyAlignment="1">
      <alignment horizontal="center" vertical="center"/>
    </xf>
    <xf numFmtId="3" fontId="6" fillId="0" borderId="10" xfId="0" applyNumberFormat="1" applyFont="1" applyBorder="1" applyAlignment="1">
      <alignment horizontal="center" vertical="center"/>
    </xf>
    <xf numFmtId="3" fontId="6" fillId="0" borderId="11" xfId="0" applyNumberFormat="1" applyFont="1" applyBorder="1" applyAlignment="1">
      <alignment horizontal="center" vertical="center"/>
    </xf>
    <xf numFmtId="9" fontId="3" fillId="0" borderId="0" xfId="1" applyFont="1" applyBorder="1" applyAlignment="1">
      <alignment horizontal="center" vertical="center"/>
    </xf>
    <xf numFmtId="0" fontId="11" fillId="5" borderId="0" xfId="0" applyFont="1" applyFill="1"/>
    <xf numFmtId="0" fontId="26" fillId="5" borderId="0" xfId="0" applyFont="1" applyFill="1"/>
    <xf numFmtId="165" fontId="28" fillId="5" borderId="0" xfId="2" applyNumberFormat="1" applyFont="1" applyFill="1"/>
    <xf numFmtId="9" fontId="28" fillId="5" borderId="0" xfId="1" applyFont="1" applyFill="1"/>
    <xf numFmtId="10" fontId="28" fillId="5" borderId="0" xfId="1" applyNumberFormat="1" applyFont="1" applyFill="1"/>
    <xf numFmtId="0" fontId="23" fillId="5" borderId="0" xfId="0" applyFont="1" applyFill="1"/>
    <xf numFmtId="0" fontId="11" fillId="5" borderId="0" xfId="0" applyFont="1" applyFill="1" applyAlignment="1">
      <alignment horizontal="left"/>
    </xf>
    <xf numFmtId="0" fontId="11" fillId="5" borderId="0" xfId="0" applyFont="1" applyFill="1" applyAlignment="1">
      <alignment horizontal="right"/>
    </xf>
    <xf numFmtId="167" fontId="11" fillId="5" borderId="0" xfId="2" applyNumberFormat="1" applyFont="1" applyFill="1" applyBorder="1" applyAlignment="1">
      <alignment horizontal="right"/>
    </xf>
    <xf numFmtId="164" fontId="27" fillId="5" borderId="0" xfId="0" applyNumberFormat="1" applyFont="1" applyFill="1" applyAlignment="1">
      <alignment horizontal="right"/>
    </xf>
    <xf numFmtId="0" fontId="26" fillId="5" borderId="0" xfId="0" applyFont="1" applyFill="1" applyAlignment="1">
      <alignment horizontal="right"/>
    </xf>
    <xf numFmtId="0" fontId="26" fillId="5" borderId="0" xfId="0" applyFont="1" applyFill="1" applyAlignment="1">
      <alignment horizontal="left"/>
    </xf>
    <xf numFmtId="1" fontId="26" fillId="5" borderId="0" xfId="0" applyNumberFormat="1" applyFont="1" applyFill="1" applyAlignment="1">
      <alignment horizontal="right"/>
    </xf>
    <xf numFmtId="1" fontId="26" fillId="5" borderId="0" xfId="0" applyNumberFormat="1" applyFont="1" applyFill="1"/>
    <xf numFmtId="167" fontId="26" fillId="5" borderId="0" xfId="0" applyNumberFormat="1" applyFont="1" applyFill="1" applyAlignment="1">
      <alignment horizontal="right"/>
    </xf>
    <xf numFmtId="1" fontId="27" fillId="6" borderId="17" xfId="0" applyNumberFormat="1" applyFont="1" applyFill="1" applyBorder="1" applyAlignment="1">
      <alignment horizontal="left"/>
    </xf>
    <xf numFmtId="1" fontId="27" fillId="6" borderId="17" xfId="0" applyNumberFormat="1" applyFont="1" applyFill="1" applyBorder="1" applyAlignment="1">
      <alignment horizontal="right"/>
    </xf>
    <xf numFmtId="0" fontId="8" fillId="6" borderId="0" xfId="0" applyFont="1" applyFill="1"/>
    <xf numFmtId="0" fontId="6" fillId="6" borderId="0" xfId="0" applyFont="1" applyFill="1" applyAlignment="1">
      <alignment horizontal="left"/>
    </xf>
    <xf numFmtId="0" fontId="29" fillId="5" borderId="0" xfId="0" applyFont="1" applyFill="1"/>
    <xf numFmtId="0" fontId="30" fillId="5" borderId="0" xfId="0" applyFont="1" applyFill="1" applyAlignment="1">
      <alignment horizontal="center"/>
    </xf>
    <xf numFmtId="0" fontId="11" fillId="7" borderId="21" xfId="4" applyFont="1" applyFill="1" applyBorder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center" vertical="center"/>
    </xf>
    <xf numFmtId="3" fontId="6" fillId="6" borderId="5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3" fontId="6" fillId="0" borderId="25" xfId="0" applyNumberFormat="1" applyFont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/>
    </xf>
    <xf numFmtId="3" fontId="6" fillId="0" borderId="26" xfId="0" applyNumberFormat="1" applyFont="1" applyBorder="1" applyAlignment="1">
      <alignment horizontal="center" vertical="center"/>
    </xf>
    <xf numFmtId="3" fontId="6" fillId="0" borderId="27" xfId="0" applyNumberFormat="1" applyFont="1" applyBorder="1" applyAlignment="1">
      <alignment horizontal="center" vertical="center"/>
    </xf>
    <xf numFmtId="3" fontId="6" fillId="0" borderId="0" xfId="0" applyNumberFormat="1" applyFont="1" applyAlignment="1">
      <alignment horizontal="center"/>
    </xf>
    <xf numFmtId="168" fontId="9" fillId="0" borderId="0" xfId="0" applyNumberFormat="1" applyFont="1"/>
    <xf numFmtId="2" fontId="22" fillId="0" borderId="0" xfId="0" applyNumberFormat="1" applyFont="1" applyAlignment="1">
      <alignment vertical="center"/>
    </xf>
    <xf numFmtId="0" fontId="22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3" fontId="31" fillId="0" borderId="0" xfId="0" applyNumberFormat="1" applyFont="1" applyAlignment="1">
      <alignment vertical="center"/>
    </xf>
    <xf numFmtId="0" fontId="21" fillId="0" borderId="0" xfId="4" applyFont="1" applyAlignment="1">
      <alignment horizontal="center" vertical="center"/>
    </xf>
    <xf numFmtId="164" fontId="0" fillId="0" borderId="0" xfId="0" applyNumberFormat="1"/>
    <xf numFmtId="0" fontId="33" fillId="8" borderId="0" xfId="0" applyFont="1" applyFill="1" applyAlignment="1">
      <alignment readingOrder="2"/>
    </xf>
    <xf numFmtId="0" fontId="33" fillId="7" borderId="0" xfId="0" applyFont="1" applyFill="1" applyAlignment="1">
      <alignment readingOrder="2"/>
    </xf>
    <xf numFmtId="0" fontId="22" fillId="7" borderId="0" xfId="0" applyFont="1" applyFill="1" applyAlignment="1">
      <alignment readingOrder="2"/>
    </xf>
    <xf numFmtId="0" fontId="32" fillId="7" borderId="0" xfId="0" applyFont="1" applyFill="1" applyAlignment="1">
      <alignment readingOrder="2"/>
    </xf>
    <xf numFmtId="3" fontId="32" fillId="7" borderId="0" xfId="0" applyNumberFormat="1" applyFont="1" applyFill="1" applyAlignment="1">
      <alignment readingOrder="2"/>
    </xf>
    <xf numFmtId="0" fontId="34" fillId="7" borderId="0" xfId="0" applyFont="1" applyFill="1" applyAlignment="1">
      <alignment readingOrder="2"/>
    </xf>
    <xf numFmtId="9" fontId="3" fillId="0" borderId="0" xfId="1" applyFont="1"/>
    <xf numFmtId="3" fontId="35" fillId="0" borderId="0" xfId="0" applyNumberFormat="1" applyFont="1"/>
    <xf numFmtId="3" fontId="3" fillId="0" borderId="22" xfId="0" applyNumberFormat="1" applyFont="1" applyBorder="1" applyAlignment="1">
      <alignment horizontal="center" vertical="center"/>
    </xf>
    <xf numFmtId="3" fontId="11" fillId="0" borderId="24" xfId="0" applyNumberFormat="1" applyFont="1" applyBorder="1" applyAlignment="1">
      <alignment horizontal="center" vertical="center"/>
    </xf>
    <xf numFmtId="3" fontId="6" fillId="0" borderId="23" xfId="0" applyNumberFormat="1" applyFont="1" applyBorder="1" applyAlignment="1">
      <alignment horizontal="center" vertical="center"/>
    </xf>
    <xf numFmtId="9" fontId="6" fillId="0" borderId="23" xfId="1" applyFont="1" applyBorder="1" applyAlignment="1">
      <alignment horizontal="center" vertical="center"/>
    </xf>
    <xf numFmtId="3" fontId="36" fillId="0" borderId="21" xfId="0" applyNumberFormat="1" applyFont="1" applyBorder="1" applyAlignment="1">
      <alignment horizontal="center" vertical="center"/>
    </xf>
    <xf numFmtId="0" fontId="37" fillId="8" borderId="0" xfId="0" applyFont="1" applyFill="1" applyAlignment="1">
      <alignment horizontal="right" readingOrder="2"/>
    </xf>
    <xf numFmtId="0" fontId="37" fillId="8" borderId="0" xfId="0" applyFont="1" applyFill="1" applyAlignment="1">
      <alignment readingOrder="2"/>
    </xf>
    <xf numFmtId="3" fontId="0" fillId="0" borderId="0" xfId="0" applyNumberFormat="1"/>
    <xf numFmtId="165" fontId="9" fillId="0" borderId="0" xfId="0" applyNumberFormat="1" applyFont="1"/>
    <xf numFmtId="0" fontId="6" fillId="0" borderId="17" xfId="0" applyFont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169" fontId="6" fillId="3" borderId="28" xfId="2" applyNumberFormat="1" applyFont="1" applyFill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169" fontId="36" fillId="0" borderId="28" xfId="2" applyNumberFormat="1" applyFont="1" applyBorder="1" applyAlignment="1">
      <alignment horizontal="center" vertical="center"/>
    </xf>
    <xf numFmtId="0" fontId="38" fillId="9" borderId="28" xfId="0" applyFont="1" applyFill="1" applyBorder="1" applyAlignment="1">
      <alignment horizontal="center" vertical="center"/>
    </xf>
    <xf numFmtId="169" fontId="39" fillId="9" borderId="28" xfId="2" applyNumberFormat="1" applyFont="1" applyFill="1" applyBorder="1" applyAlignment="1">
      <alignment horizontal="center" vertical="center"/>
    </xf>
    <xf numFmtId="169" fontId="36" fillId="0" borderId="17" xfId="2" applyNumberFormat="1" applyFont="1" applyBorder="1" applyAlignment="1">
      <alignment horizontal="center" vertical="center"/>
    </xf>
    <xf numFmtId="0" fontId="38" fillId="10" borderId="28" xfId="0" applyFont="1" applyFill="1" applyBorder="1" applyAlignment="1">
      <alignment horizontal="center" vertical="center"/>
    </xf>
    <xf numFmtId="169" fontId="38" fillId="10" borderId="28" xfId="2" applyNumberFormat="1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9" fontId="3" fillId="0" borderId="0" xfId="0" applyNumberFormat="1" applyFont="1"/>
    <xf numFmtId="3" fontId="6" fillId="0" borderId="4" xfId="0" applyNumberFormat="1" applyFont="1" applyBorder="1" applyAlignment="1">
      <alignment horizontal="center" vertical="center"/>
    </xf>
    <xf numFmtId="9" fontId="4" fillId="0" borderId="0" xfId="1" applyFont="1" applyAlignment="1">
      <alignment horizontal="center" vertical="center"/>
    </xf>
    <xf numFmtId="0" fontId="22" fillId="0" borderId="18" xfId="0" applyFont="1" applyBorder="1" applyAlignment="1">
      <alignment vertical="center"/>
    </xf>
    <xf numFmtId="3" fontId="6" fillId="0" borderId="4" xfId="0" applyNumberFormat="1" applyFont="1" applyBorder="1" applyAlignment="1">
      <alignment vertical="center" wrapText="1"/>
    </xf>
    <xf numFmtId="3" fontId="6" fillId="0" borderId="4" xfId="0" applyNumberFormat="1" applyFont="1" applyBorder="1" applyAlignment="1">
      <alignment vertical="center"/>
    </xf>
    <xf numFmtId="3" fontId="6" fillId="0" borderId="4" xfId="0" applyNumberFormat="1" applyFont="1" applyBorder="1" applyAlignment="1">
      <alignment horizontal="left" vertical="center" wrapText="1"/>
    </xf>
    <xf numFmtId="3" fontId="5" fillId="0" borderId="3" xfId="0" applyNumberFormat="1" applyFont="1" applyBorder="1" applyAlignment="1">
      <alignment horizontal="left" vertical="center"/>
    </xf>
    <xf numFmtId="3" fontId="19" fillId="0" borderId="3" xfId="0" applyNumberFormat="1" applyFont="1" applyBorder="1" applyAlignment="1">
      <alignment vertical="center"/>
    </xf>
    <xf numFmtId="3" fontId="19" fillId="0" borderId="3" xfId="0" applyNumberFormat="1" applyFont="1" applyBorder="1" applyAlignment="1">
      <alignment horizontal="left" vertical="center"/>
    </xf>
    <xf numFmtId="3" fontId="41" fillId="0" borderId="20" xfId="0" applyNumberFormat="1" applyFont="1" applyBorder="1" applyAlignment="1">
      <alignment horizontal="center" vertical="center"/>
    </xf>
    <xf numFmtId="3" fontId="41" fillId="0" borderId="21" xfId="0" applyNumberFormat="1" applyFont="1" applyBorder="1" applyAlignment="1">
      <alignment horizontal="center" vertical="center"/>
    </xf>
    <xf numFmtId="3" fontId="42" fillId="10" borderId="6" xfId="0" applyNumberFormat="1" applyFont="1" applyFill="1" applyBorder="1" applyAlignment="1">
      <alignment horizontal="center" vertical="center"/>
    </xf>
    <xf numFmtId="9" fontId="38" fillId="10" borderId="6" xfId="1" applyFont="1" applyFill="1" applyBorder="1" applyAlignment="1">
      <alignment horizontal="center" vertical="center"/>
    </xf>
    <xf numFmtId="0" fontId="38" fillId="10" borderId="4" xfId="0" applyFont="1" applyFill="1" applyBorder="1"/>
    <xf numFmtId="165" fontId="38" fillId="10" borderId="4" xfId="0" applyNumberFormat="1" applyFont="1" applyFill="1" applyBorder="1"/>
    <xf numFmtId="9" fontId="38" fillId="10" borderId="4" xfId="1" applyFont="1" applyFill="1" applyBorder="1" applyAlignment="1">
      <alignment horizontal="right" vertical="center"/>
    </xf>
    <xf numFmtId="0" fontId="43" fillId="10" borderId="18" xfId="0" applyFont="1" applyFill="1" applyBorder="1" applyAlignment="1">
      <alignment horizontal="center" vertical="center"/>
    </xf>
    <xf numFmtId="3" fontId="43" fillId="10" borderId="18" xfId="0" applyNumberFormat="1" applyFont="1" applyFill="1" applyBorder="1" applyAlignment="1">
      <alignment horizontal="center" vertical="center"/>
    </xf>
    <xf numFmtId="9" fontId="43" fillId="10" borderId="18" xfId="1" applyFont="1" applyFill="1" applyBorder="1" applyAlignment="1">
      <alignment horizontal="center" vertical="center"/>
    </xf>
    <xf numFmtId="43" fontId="38" fillId="10" borderId="0" xfId="2" applyFont="1" applyFill="1"/>
    <xf numFmtId="0" fontId="44" fillId="12" borderId="21" xfId="4" applyFont="1" applyFill="1" applyBorder="1" applyAlignment="1">
      <alignment horizontal="center" vertical="center"/>
    </xf>
    <xf numFmtId="10" fontId="44" fillId="12" borderId="21" xfId="0" applyNumberFormat="1" applyFont="1" applyFill="1" applyBorder="1" applyAlignment="1">
      <alignment horizontal="center" vertical="center"/>
    </xf>
    <xf numFmtId="0" fontId="38" fillId="8" borderId="23" xfId="0" applyFont="1" applyFill="1" applyBorder="1" applyAlignment="1">
      <alignment horizontal="center" vertical="center"/>
    </xf>
    <xf numFmtId="10" fontId="38" fillId="8" borderId="23" xfId="0" applyNumberFormat="1" applyFont="1" applyFill="1" applyBorder="1" applyAlignment="1">
      <alignment horizontal="center" vertical="center"/>
    </xf>
    <xf numFmtId="3" fontId="38" fillId="8" borderId="1" xfId="0" applyNumberFormat="1" applyFont="1" applyFill="1" applyBorder="1" applyAlignment="1">
      <alignment horizontal="center" vertical="center"/>
    </xf>
    <xf numFmtId="43" fontId="38" fillId="8" borderId="1" xfId="2" applyFont="1" applyFill="1" applyBorder="1" applyAlignment="1">
      <alignment horizontal="center" vertical="center"/>
    </xf>
    <xf numFmtId="4" fontId="38" fillId="8" borderId="1" xfId="0" applyNumberFormat="1" applyFont="1" applyFill="1" applyBorder="1" applyAlignment="1">
      <alignment horizontal="center" vertical="center"/>
    </xf>
    <xf numFmtId="9" fontId="38" fillId="8" borderId="1" xfId="1" applyFont="1" applyFill="1" applyBorder="1" applyAlignment="1">
      <alignment horizontal="center" vertical="center"/>
    </xf>
    <xf numFmtId="3" fontId="6" fillId="3" borderId="1" xfId="0" applyNumberFormat="1" applyFont="1" applyFill="1" applyBorder="1" applyAlignment="1">
      <alignment horizontal="center" vertical="center"/>
    </xf>
    <xf numFmtId="3" fontId="38" fillId="10" borderId="1" xfId="0" applyNumberFormat="1" applyFont="1" applyFill="1" applyBorder="1" applyAlignment="1">
      <alignment horizontal="center" vertical="center"/>
    </xf>
    <xf numFmtId="3" fontId="38" fillId="10" borderId="5" xfId="0" applyNumberFormat="1" applyFont="1" applyFill="1" applyBorder="1" applyAlignment="1">
      <alignment horizontal="center" vertical="center"/>
    </xf>
    <xf numFmtId="3" fontId="4" fillId="0" borderId="29" xfId="0" applyNumberFormat="1" applyFont="1" applyBorder="1" applyAlignment="1">
      <alignment horizontal="center" vertical="center"/>
    </xf>
    <xf numFmtId="3" fontId="36" fillId="0" borderId="0" xfId="0" applyNumberFormat="1" applyFont="1" applyAlignment="1">
      <alignment horizontal="center"/>
    </xf>
    <xf numFmtId="0" fontId="6" fillId="5" borderId="21" xfId="0" applyFont="1" applyFill="1" applyBorder="1"/>
    <xf numFmtId="165" fontId="6" fillId="5" borderId="21" xfId="2" applyNumberFormat="1" applyFont="1" applyFill="1" applyBorder="1" applyAlignment="1">
      <alignment horizontal="right" vertical="center"/>
    </xf>
    <xf numFmtId="3" fontId="9" fillId="0" borderId="0" xfId="0" applyNumberFormat="1" applyFont="1" applyAlignment="1">
      <alignment horizontal="right" vertical="center"/>
    </xf>
    <xf numFmtId="0" fontId="9" fillId="0" borderId="21" xfId="0" applyFont="1" applyBorder="1"/>
    <xf numFmtId="165" fontId="3" fillId="5" borderId="21" xfId="2" applyNumberFormat="1" applyFont="1" applyFill="1" applyBorder="1" applyAlignment="1">
      <alignment horizontal="right"/>
    </xf>
    <xf numFmtId="165" fontId="3" fillId="5" borderId="22" xfId="2" applyNumberFormat="1" applyFont="1" applyFill="1" applyBorder="1" applyAlignment="1">
      <alignment horizontal="right"/>
    </xf>
    <xf numFmtId="164" fontId="38" fillId="10" borderId="4" xfId="0" applyNumberFormat="1" applyFont="1" applyFill="1" applyBorder="1"/>
    <xf numFmtId="0" fontId="6" fillId="5" borderId="0" xfId="0" applyFont="1" applyFill="1"/>
    <xf numFmtId="9" fontId="3" fillId="5" borderId="21" xfId="1" applyFont="1" applyFill="1" applyBorder="1" applyAlignment="1">
      <alignment horizontal="right"/>
    </xf>
    <xf numFmtId="0" fontId="2" fillId="0" borderId="0" xfId="0" applyFont="1"/>
    <xf numFmtId="169" fontId="2" fillId="0" borderId="0" xfId="0" applyNumberFormat="1" applyFont="1"/>
    <xf numFmtId="9" fontId="2" fillId="0" borderId="0" xfId="1" applyFont="1"/>
    <xf numFmtId="165" fontId="4" fillId="5" borderId="21" xfId="2" applyNumberFormat="1" applyFont="1" applyFill="1" applyBorder="1" applyAlignment="1">
      <alignment horizontal="right"/>
    </xf>
    <xf numFmtId="9" fontId="4" fillId="5" borderId="21" xfId="1" applyFont="1" applyFill="1" applyBorder="1" applyAlignment="1">
      <alignment horizontal="right"/>
    </xf>
    <xf numFmtId="0" fontId="2" fillId="0" borderId="17" xfId="0" applyFont="1" applyBorder="1"/>
    <xf numFmtId="3" fontId="6" fillId="0" borderId="0" xfId="0" applyNumberFormat="1" applyFont="1" applyAlignment="1">
      <alignment vertical="center" wrapText="1"/>
    </xf>
    <xf numFmtId="0" fontId="3" fillId="5" borderId="17" xfId="0" applyFont="1" applyFill="1" applyBorder="1"/>
    <xf numFmtId="3" fontId="9" fillId="0" borderId="17" xfId="0" applyNumberFormat="1" applyFont="1" applyBorder="1" applyAlignment="1">
      <alignment horizontal="right" vertical="center"/>
    </xf>
    <xf numFmtId="0" fontId="3" fillId="5" borderId="28" xfId="0" applyFont="1" applyFill="1" applyBorder="1"/>
    <xf numFmtId="3" fontId="9" fillId="0" borderId="28" xfId="0" applyNumberFormat="1" applyFont="1" applyBorder="1" applyAlignment="1">
      <alignment horizontal="right" vertical="center"/>
    </xf>
    <xf numFmtId="3" fontId="22" fillId="0" borderId="0" xfId="0" applyNumberFormat="1" applyFont="1" applyAlignment="1">
      <alignment horizontal="center" vertical="center"/>
    </xf>
    <xf numFmtId="3" fontId="6" fillId="0" borderId="30" xfId="0" applyNumberFormat="1" applyFont="1" applyBorder="1" applyAlignment="1">
      <alignment vertical="center" wrapText="1"/>
    </xf>
    <xf numFmtId="3" fontId="47" fillId="10" borderId="0" xfId="0" applyNumberFormat="1" applyFont="1" applyFill="1" applyAlignment="1">
      <alignment horizontal="center" vertical="center"/>
    </xf>
    <xf numFmtId="0" fontId="3" fillId="0" borderId="28" xfId="0" applyFont="1" applyBorder="1" applyAlignment="1">
      <alignment horizontal="right" vertical="center"/>
    </xf>
    <xf numFmtId="165" fontId="3" fillId="5" borderId="28" xfId="2" applyNumberFormat="1" applyFont="1" applyFill="1" applyBorder="1" applyAlignment="1">
      <alignment horizontal="center" vertical="center"/>
    </xf>
    <xf numFmtId="166" fontId="3" fillId="0" borderId="0" xfId="1" applyNumberFormat="1" applyFont="1" applyAlignment="1">
      <alignment horizontal="center" vertical="center"/>
    </xf>
    <xf numFmtId="9" fontId="6" fillId="11" borderId="5" xfId="1" applyFont="1" applyFill="1" applyBorder="1" applyAlignment="1">
      <alignment horizontal="center" vertical="center"/>
    </xf>
    <xf numFmtId="10" fontId="46" fillId="5" borderId="0" xfId="1" applyNumberFormat="1" applyFont="1" applyFill="1" applyAlignment="1">
      <alignment horizontal="center"/>
    </xf>
    <xf numFmtId="10" fontId="46" fillId="5" borderId="0" xfId="1" applyNumberFormat="1" applyFont="1" applyFill="1" applyAlignment="1">
      <alignment horizontal="right"/>
    </xf>
    <xf numFmtId="3" fontId="48" fillId="0" borderId="0" xfId="0" applyNumberFormat="1" applyFont="1" applyAlignment="1">
      <alignment horizontal="center" vertical="center"/>
    </xf>
    <xf numFmtId="3" fontId="6" fillId="5" borderId="5" xfId="0" applyNumberFormat="1" applyFont="1" applyFill="1" applyBorder="1" applyAlignment="1">
      <alignment horizontal="center" vertical="center"/>
    </xf>
    <xf numFmtId="3" fontId="6" fillId="5" borderId="1" xfId="0" applyNumberFormat="1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/>
    </xf>
    <xf numFmtId="169" fontId="9" fillId="0" borderId="0" xfId="0" applyNumberFormat="1" applyFont="1"/>
    <xf numFmtId="0" fontId="3" fillId="0" borderId="17" xfId="0" applyFont="1" applyBorder="1" applyAlignment="1">
      <alignment horizontal="right" vertical="center"/>
    </xf>
    <xf numFmtId="0" fontId="38" fillId="13" borderId="15" xfId="0" applyFont="1" applyFill="1" applyBorder="1"/>
    <xf numFmtId="165" fontId="38" fillId="13" borderId="15" xfId="0" applyNumberFormat="1" applyFont="1" applyFill="1" applyBorder="1"/>
    <xf numFmtId="0" fontId="38" fillId="13" borderId="14" xfId="0" applyFont="1" applyFill="1" applyBorder="1"/>
    <xf numFmtId="165" fontId="38" fillId="13" borderId="14" xfId="0" applyNumberFormat="1" applyFont="1" applyFill="1" applyBorder="1"/>
    <xf numFmtId="9" fontId="46" fillId="0" borderId="28" xfId="1" applyFont="1" applyBorder="1" applyAlignment="1">
      <alignment horizontal="right"/>
    </xf>
    <xf numFmtId="0" fontId="49" fillId="5" borderId="4" xfId="0" applyFont="1" applyFill="1" applyBorder="1"/>
    <xf numFmtId="9" fontId="50" fillId="5" borderId="0" xfId="1" applyFont="1" applyFill="1"/>
    <xf numFmtId="3" fontId="51" fillId="0" borderId="17" xfId="0" applyNumberFormat="1" applyFont="1" applyBorder="1" applyAlignment="1">
      <alignment horizontal="center" vertical="center"/>
    </xf>
    <xf numFmtId="169" fontId="3" fillId="0" borderId="0" xfId="2" applyNumberFormat="1" applyFont="1"/>
    <xf numFmtId="0" fontId="3" fillId="0" borderId="17" xfId="0" applyFont="1" applyBorder="1"/>
    <xf numFmtId="3" fontId="3" fillId="0" borderId="17" xfId="0" applyNumberFormat="1" applyFont="1" applyBorder="1"/>
    <xf numFmtId="169" fontId="3" fillId="0" borderId="17" xfId="2" applyNumberFormat="1" applyFont="1" applyBorder="1"/>
    <xf numFmtId="0" fontId="3" fillId="0" borderId="21" xfId="0" applyFont="1" applyBorder="1"/>
    <xf numFmtId="1" fontId="3" fillId="0" borderId="17" xfId="0" applyNumberFormat="1" applyFont="1" applyBorder="1"/>
    <xf numFmtId="0" fontId="3" fillId="0" borderId="28" xfId="0" applyFont="1" applyBorder="1"/>
    <xf numFmtId="169" fontId="3" fillId="0" borderId="28" xfId="0" applyNumberFormat="1" applyFont="1" applyBorder="1"/>
    <xf numFmtId="43" fontId="3" fillId="0" borderId="28" xfId="0" applyNumberFormat="1" applyFont="1" applyBorder="1"/>
    <xf numFmtId="3" fontId="6" fillId="0" borderId="7" xfId="0" applyNumberFormat="1" applyFont="1" applyBorder="1" applyAlignment="1">
      <alignment horizontal="center" vertical="center"/>
    </xf>
    <xf numFmtId="3" fontId="39" fillId="10" borderId="0" xfId="0" applyNumberFormat="1" applyFont="1" applyFill="1" applyAlignment="1">
      <alignment horizontal="center" vertical="center"/>
    </xf>
    <xf numFmtId="3" fontId="52" fillId="0" borderId="0" xfId="0" applyNumberFormat="1" applyFont="1" applyAlignment="1">
      <alignment horizontal="center" vertical="center" readingOrder="2"/>
    </xf>
    <xf numFmtId="3" fontId="53" fillId="0" borderId="0" xfId="0" applyNumberFormat="1" applyFont="1" applyAlignment="1">
      <alignment horizontal="center" vertical="center"/>
    </xf>
    <xf numFmtId="9" fontId="53" fillId="0" borderId="0" xfId="1" applyFont="1" applyAlignment="1">
      <alignment horizontal="center" vertical="center"/>
    </xf>
    <xf numFmtId="3" fontId="53" fillId="5" borderId="0" xfId="0" applyNumberFormat="1" applyFont="1" applyFill="1" applyAlignment="1">
      <alignment horizontal="center" vertical="center"/>
    </xf>
    <xf numFmtId="166" fontId="6" fillId="0" borderId="24" xfId="1" applyNumberFormat="1" applyFont="1" applyBorder="1" applyAlignment="1">
      <alignment horizontal="center" vertical="center"/>
    </xf>
    <xf numFmtId="3" fontId="26" fillId="0" borderId="0" xfId="0" applyNumberFormat="1" applyFont="1" applyAlignment="1">
      <alignment horizontal="center" vertical="center" readingOrder="2"/>
    </xf>
    <xf numFmtId="3" fontId="26" fillId="0" borderId="0" xfId="0" applyNumberFormat="1" applyFont="1" applyAlignment="1">
      <alignment horizontal="center" vertical="center"/>
    </xf>
    <xf numFmtId="0" fontId="56" fillId="0" borderId="0" xfId="0" applyFont="1"/>
    <xf numFmtId="0" fontId="3" fillId="0" borderId="0" xfId="0" applyFont="1" applyAlignment="1">
      <alignment horizontal="right"/>
    </xf>
    <xf numFmtId="0" fontId="3" fillId="0" borderId="21" xfId="0" applyFont="1" applyBorder="1" applyAlignment="1">
      <alignment horizontal="right"/>
    </xf>
    <xf numFmtId="3" fontId="53" fillId="0" borderId="0" xfId="0" applyNumberFormat="1" applyFont="1" applyAlignment="1">
      <alignment horizontal="right" vertical="center"/>
    </xf>
    <xf numFmtId="1" fontId="3" fillId="0" borderId="0" xfId="0" applyNumberFormat="1" applyFont="1"/>
    <xf numFmtId="10" fontId="0" fillId="0" borderId="0" xfId="0" applyNumberFormat="1"/>
    <xf numFmtId="8" fontId="0" fillId="0" borderId="0" xfId="0" applyNumberFormat="1"/>
    <xf numFmtId="3" fontId="19" fillId="0" borderId="0" xfId="0" applyNumberFormat="1" applyFont="1" applyAlignment="1">
      <alignment vertical="center"/>
    </xf>
    <xf numFmtId="10" fontId="9" fillId="0" borderId="17" xfId="1" applyNumberFormat="1" applyFont="1" applyBorder="1" applyAlignment="1">
      <alignment horizontal="right" vertical="center"/>
    </xf>
    <xf numFmtId="170" fontId="3" fillId="5" borderId="17" xfId="0" applyNumberFormat="1" applyFont="1" applyFill="1" applyBorder="1"/>
    <xf numFmtId="0" fontId="3" fillId="5" borderId="14" xfId="0" applyFont="1" applyFill="1" applyBorder="1"/>
    <xf numFmtId="10" fontId="3" fillId="0" borderId="0" xfId="1" applyNumberFormat="1" applyFont="1" applyAlignment="1">
      <alignment horizontal="right"/>
    </xf>
    <xf numFmtId="170" fontId="57" fillId="5" borderId="17" xfId="0" applyNumberFormat="1" applyFont="1" applyFill="1" applyBorder="1"/>
    <xf numFmtId="170" fontId="4" fillId="5" borderId="17" xfId="0" applyNumberFormat="1" applyFont="1" applyFill="1" applyBorder="1"/>
    <xf numFmtId="9" fontId="58" fillId="0" borderId="0" xfId="1" applyFont="1"/>
    <xf numFmtId="0" fontId="59" fillId="8" borderId="0" xfId="4" applyFont="1" applyFill="1" applyAlignment="1">
      <alignment horizontal="center" vertical="center" wrapText="1"/>
    </xf>
    <xf numFmtId="3" fontId="6" fillId="8" borderId="1" xfId="0" applyNumberFormat="1" applyFont="1" applyFill="1" applyBorder="1" applyAlignment="1">
      <alignment horizontal="center" vertical="center"/>
    </xf>
    <xf numFmtId="43" fontId="6" fillId="8" borderId="1" xfId="2" applyFont="1" applyFill="1" applyBorder="1" applyAlignment="1">
      <alignment horizontal="center" vertical="center"/>
    </xf>
    <xf numFmtId="4" fontId="6" fillId="8" borderId="1" xfId="0" applyNumberFormat="1" applyFont="1" applyFill="1" applyBorder="1" applyAlignment="1">
      <alignment horizontal="center" vertical="center"/>
    </xf>
    <xf numFmtId="9" fontId="6" fillId="8" borderId="1" xfId="1" applyFont="1" applyFill="1" applyBorder="1" applyAlignment="1">
      <alignment horizontal="center" vertical="center"/>
    </xf>
    <xf numFmtId="3" fontId="6" fillId="0" borderId="10" xfId="0" applyNumberFormat="1" applyFont="1" applyBorder="1" applyAlignment="1">
      <alignment horizontal="right" vertical="center"/>
    </xf>
    <xf numFmtId="3" fontId="6" fillId="0" borderId="11" xfId="0" applyNumberFormat="1" applyFont="1" applyBorder="1" applyAlignment="1">
      <alignment horizontal="right" vertical="center"/>
    </xf>
    <xf numFmtId="3" fontId="6" fillId="0" borderId="7" xfId="0" applyNumberFormat="1" applyFont="1" applyBorder="1" applyAlignment="1">
      <alignment horizontal="center" vertical="center"/>
    </xf>
    <xf numFmtId="3" fontId="6" fillId="0" borderId="8" xfId="0" applyNumberFormat="1" applyFont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/>
    </xf>
    <xf numFmtId="3" fontId="6" fillId="0" borderId="10" xfId="0" applyNumberFormat="1" applyFont="1" applyBorder="1" applyAlignment="1">
      <alignment horizontal="center" vertical="center"/>
    </xf>
    <xf numFmtId="3" fontId="6" fillId="0" borderId="11" xfId="0" applyNumberFormat="1" applyFont="1" applyBorder="1" applyAlignment="1">
      <alignment horizontal="center" vertical="center"/>
    </xf>
    <xf numFmtId="3" fontId="6" fillId="0" borderId="12" xfId="0" applyNumberFormat="1" applyFont="1" applyBorder="1" applyAlignment="1">
      <alignment horizontal="center" vertical="center"/>
    </xf>
    <xf numFmtId="3" fontId="6" fillId="6" borderId="10" xfId="0" applyNumberFormat="1" applyFont="1" applyFill="1" applyBorder="1" applyAlignment="1">
      <alignment horizontal="center" vertical="center"/>
    </xf>
    <xf numFmtId="3" fontId="6" fillId="6" borderId="11" xfId="0" applyNumberFormat="1" applyFont="1" applyFill="1" applyBorder="1" applyAlignment="1">
      <alignment horizontal="center" vertical="center"/>
    </xf>
    <xf numFmtId="3" fontId="6" fillId="6" borderId="12" xfId="0" applyNumberFormat="1" applyFont="1" applyFill="1" applyBorder="1" applyAlignment="1">
      <alignment horizontal="center" vertical="center"/>
    </xf>
    <xf numFmtId="4" fontId="6" fillId="6" borderId="10" xfId="0" applyNumberFormat="1" applyFont="1" applyFill="1" applyBorder="1" applyAlignment="1">
      <alignment horizontal="center" vertical="center"/>
    </xf>
    <xf numFmtId="4" fontId="6" fillId="6" borderId="11" xfId="0" applyNumberFormat="1" applyFont="1" applyFill="1" applyBorder="1" applyAlignment="1">
      <alignment horizontal="center" vertical="center"/>
    </xf>
    <xf numFmtId="4" fontId="6" fillId="6" borderId="12" xfId="0" applyNumberFormat="1" applyFont="1" applyFill="1" applyBorder="1" applyAlignment="1">
      <alignment horizontal="center" vertical="center"/>
    </xf>
    <xf numFmtId="3" fontId="5" fillId="0" borderId="3" xfId="0" applyNumberFormat="1" applyFont="1" applyBorder="1" applyAlignment="1">
      <alignment horizontal="center" vertical="center"/>
    </xf>
    <xf numFmtId="3" fontId="6" fillId="0" borderId="4" xfId="0" applyNumberFormat="1" applyFont="1" applyBorder="1" applyAlignment="1">
      <alignment horizontal="center" vertical="center" wrapText="1"/>
    </xf>
    <xf numFmtId="3" fontId="6" fillId="0" borderId="4" xfId="0" applyNumberFormat="1" applyFont="1" applyBorder="1" applyAlignment="1">
      <alignment horizontal="center" vertical="center"/>
    </xf>
    <xf numFmtId="3" fontId="19" fillId="0" borderId="3" xfId="0" applyNumberFormat="1" applyFont="1" applyBorder="1" applyAlignment="1">
      <alignment horizontal="center" vertical="center"/>
    </xf>
    <xf numFmtId="3" fontId="6" fillId="0" borderId="16" xfId="0" applyNumberFormat="1" applyFont="1" applyBorder="1" applyAlignment="1">
      <alignment horizontal="center" vertical="center" wrapText="1"/>
    </xf>
  </cellXfs>
  <cellStyles count="5">
    <cellStyle name="Comma" xfId="2" builtinId="3"/>
    <cellStyle name="Date" xfId="3" xr:uid="{4A2981E9-F980-4E61-ADCD-DBC7204D15BB}"/>
    <cellStyle name="Hyperlink" xfId="4" builtinId="8"/>
    <cellStyle name="Normal" xfId="0" builtinId="0"/>
    <cellStyle name="Percent" xfId="1" builtinId="5"/>
  </cellStyles>
  <dxfs count="9">
    <dxf>
      <font>
        <color rgb="FFC00000"/>
      </font>
    </dxf>
    <dxf>
      <font>
        <color theme="4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39994506668294322"/>
        </patternFill>
      </fill>
    </dxf>
  </dxfs>
  <tableStyles count="0" defaultTableStyle="TableStyleMedium2" defaultPivotStyle="PivotStyleMedium9"/>
  <colors>
    <mruColors>
      <color rgb="FF8BDD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ar-EG" b="1">
                <a:solidFill>
                  <a:schemeClr val="bg1"/>
                </a:solidFill>
              </a:rPr>
              <a:t>توزيع العماله</a:t>
            </a:r>
            <a:endParaRPr lang="en-US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 w="19050"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654-4322-81DE-60E2F1F6745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654-4322-81DE-60E2F1F67458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654-4322-81DE-60E2F1F6745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'SCENARIO-1 '!$B$33:$B$35</c:f>
              <c:strCache>
                <c:ptCount val="3"/>
                <c:pt idx="0">
                  <c:v>مدير</c:v>
                </c:pt>
                <c:pt idx="1">
                  <c:v>مشرف</c:v>
                </c:pt>
                <c:pt idx="2">
                  <c:v>عامل</c:v>
                </c:pt>
              </c:strCache>
            </c:strRef>
          </c:cat>
          <c:val>
            <c:numRef>
              <c:f>'SCENARIO-1 '!$E$33:$E$35</c:f>
              <c:numCache>
                <c:formatCode>#,##0</c:formatCode>
                <c:ptCount val="3"/>
                <c:pt idx="0">
                  <c:v>1</c:v>
                </c:pt>
                <c:pt idx="1">
                  <c:v>6</c:v>
                </c:pt>
                <c:pt idx="2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654-4322-81DE-60E2F1F67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429556239"/>
        <c:axId val="1208467279"/>
      </c:barChart>
      <c:valAx>
        <c:axId val="1208467279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crossAx val="1429556239"/>
        <c:crosses val="autoZero"/>
        <c:crossBetween val="between"/>
      </c:valAx>
      <c:catAx>
        <c:axId val="142955623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2084672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ar-EG" b="1">
                <a:solidFill>
                  <a:schemeClr val="bg1"/>
                </a:solidFill>
              </a:rPr>
              <a:t>تكاليف</a:t>
            </a:r>
            <a:r>
              <a:rPr lang="ar-EG" b="1" baseline="0">
                <a:solidFill>
                  <a:schemeClr val="bg1"/>
                </a:solidFill>
              </a:rPr>
              <a:t> العماله</a:t>
            </a:r>
            <a:endParaRPr lang="en-US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'SCENARIO-1 '!$B$33</c:f>
              <c:strCache>
                <c:ptCount val="1"/>
                <c:pt idx="0">
                  <c:v>مدير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'SCENARIO-1 '!$F$32:$M$32</c:f>
              <c:strCache>
                <c:ptCount val="8"/>
                <c:pt idx="0">
                  <c:v>مرتبات</c:v>
                </c:pt>
                <c:pt idx="1">
                  <c:v>بدلات</c:v>
                </c:pt>
                <c:pt idx="2">
                  <c:v>مكافائات</c:v>
                </c:pt>
                <c:pt idx="3">
                  <c:v>تأمينات</c:v>
                </c:pt>
                <c:pt idx="4">
                  <c:v>تأمين صحي</c:v>
                </c:pt>
                <c:pt idx="5">
                  <c:v>ضريبة كسب عمل</c:v>
                </c:pt>
                <c:pt idx="6">
                  <c:v>يونيفورم</c:v>
                </c:pt>
                <c:pt idx="7">
                  <c:v>صندوق الشهداء</c:v>
                </c:pt>
              </c:strCache>
            </c:strRef>
          </c:cat>
          <c:val>
            <c:numRef>
              <c:f>'SCENARIO-1 '!$F$33:$M$33</c:f>
              <c:numCache>
                <c:formatCode>#,##0</c:formatCode>
                <c:ptCount val="8"/>
                <c:pt idx="0">
                  <c:v>12000.000000000002</c:v>
                </c:pt>
                <c:pt idx="1">
                  <c:v>0</c:v>
                </c:pt>
                <c:pt idx="2">
                  <c:v>0</c:v>
                </c:pt>
                <c:pt idx="3">
                  <c:v>4521.0382993675339</c:v>
                </c:pt>
                <c:pt idx="4">
                  <c:v>130</c:v>
                </c:pt>
                <c:pt idx="5">
                  <c:v>1517.5245959241047</c:v>
                </c:pt>
                <c:pt idx="6">
                  <c:v>0</c:v>
                </c:pt>
                <c:pt idx="7">
                  <c:v>7.5983836964160236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98-48D6-8AA9-1CAEEAD431E3}"/>
            </c:ext>
          </c:extLst>
        </c:ser>
        <c:ser>
          <c:idx val="1"/>
          <c:order val="1"/>
          <c:tx>
            <c:strRef>
              <c:f>'SCENARIO-1 '!$B$34</c:f>
              <c:strCache>
                <c:ptCount val="1"/>
                <c:pt idx="0">
                  <c:v>مشرف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'SCENARIO-1 '!$F$32:$M$32</c:f>
              <c:strCache>
                <c:ptCount val="8"/>
                <c:pt idx="0">
                  <c:v>مرتبات</c:v>
                </c:pt>
                <c:pt idx="1">
                  <c:v>بدلات</c:v>
                </c:pt>
                <c:pt idx="2">
                  <c:v>مكافائات</c:v>
                </c:pt>
                <c:pt idx="3">
                  <c:v>تأمينات</c:v>
                </c:pt>
                <c:pt idx="4">
                  <c:v>تأمين صحي</c:v>
                </c:pt>
                <c:pt idx="5">
                  <c:v>ضريبة كسب عمل</c:v>
                </c:pt>
                <c:pt idx="6">
                  <c:v>يونيفورم</c:v>
                </c:pt>
                <c:pt idx="7">
                  <c:v>صندوق الشهداء</c:v>
                </c:pt>
              </c:strCache>
            </c:strRef>
          </c:cat>
          <c:val>
            <c:numRef>
              <c:f>'SCENARIO-1 '!$F$34:$M$34</c:f>
              <c:numCache>
                <c:formatCode>#,##0</c:formatCode>
                <c:ptCount val="8"/>
                <c:pt idx="0">
                  <c:v>54000</c:v>
                </c:pt>
                <c:pt idx="1">
                  <c:v>0</c:v>
                </c:pt>
                <c:pt idx="2">
                  <c:v>0</c:v>
                </c:pt>
                <c:pt idx="3">
                  <c:v>19599.877020379477</c:v>
                </c:pt>
                <c:pt idx="4">
                  <c:v>780</c:v>
                </c:pt>
                <c:pt idx="5">
                  <c:v>4601.9852424455357</c:v>
                </c:pt>
                <c:pt idx="6">
                  <c:v>420</c:v>
                </c:pt>
                <c:pt idx="7">
                  <c:v>32.940969782150383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98-48D6-8AA9-1CAEEAD431E3}"/>
            </c:ext>
          </c:extLst>
        </c:ser>
        <c:ser>
          <c:idx val="2"/>
          <c:order val="2"/>
          <c:tx>
            <c:strRef>
              <c:f>'SCENARIO-1 '!$B$35</c:f>
              <c:strCache>
                <c:ptCount val="1"/>
                <c:pt idx="0">
                  <c:v>عامل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'SCENARIO-1 '!$F$32:$M$32</c:f>
              <c:strCache>
                <c:ptCount val="8"/>
                <c:pt idx="0">
                  <c:v>مرتبات</c:v>
                </c:pt>
                <c:pt idx="1">
                  <c:v>بدلات</c:v>
                </c:pt>
                <c:pt idx="2">
                  <c:v>مكافائات</c:v>
                </c:pt>
                <c:pt idx="3">
                  <c:v>تأمينات</c:v>
                </c:pt>
                <c:pt idx="4">
                  <c:v>تأمين صحي</c:v>
                </c:pt>
                <c:pt idx="5">
                  <c:v>ضريبة كسب عمل</c:v>
                </c:pt>
                <c:pt idx="6">
                  <c:v>يونيفورم</c:v>
                </c:pt>
                <c:pt idx="7">
                  <c:v>صندوق الشهداء</c:v>
                </c:pt>
              </c:strCache>
            </c:strRef>
          </c:cat>
          <c:val>
            <c:numRef>
              <c:f>'SCENARIO-1 '!$F$35:$M$35</c:f>
              <c:numCache>
                <c:formatCode>#,##0</c:formatCode>
                <c:ptCount val="8"/>
                <c:pt idx="0">
                  <c:v>294000.00000000006</c:v>
                </c:pt>
                <c:pt idx="1">
                  <c:v>0</c:v>
                </c:pt>
                <c:pt idx="2">
                  <c:v>0</c:v>
                </c:pt>
                <c:pt idx="3">
                  <c:v>102265.625</c:v>
                </c:pt>
                <c:pt idx="4">
                  <c:v>5460</c:v>
                </c:pt>
                <c:pt idx="5">
                  <c:v>11765.625000000004</c:v>
                </c:pt>
                <c:pt idx="6">
                  <c:v>4200</c:v>
                </c:pt>
                <c:pt idx="7">
                  <c:v>171.875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98-48D6-8AA9-1CAEEAD43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554614255"/>
        <c:axId val="1304597711"/>
      </c:barChart>
      <c:catAx>
        <c:axId val="155461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04597711"/>
        <c:crosses val="autoZero"/>
        <c:auto val="1"/>
        <c:lblAlgn val="ctr"/>
        <c:lblOffset val="100"/>
        <c:noMultiLvlLbl val="0"/>
      </c:catAx>
      <c:valAx>
        <c:axId val="130459771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accent1">
                  <a:alpha val="18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554614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ar-EG" sz="1400" b="1">
                <a:solidFill>
                  <a:schemeClr val="bg1"/>
                </a:solidFill>
              </a:rPr>
              <a:t>أعداد الماكينات</a:t>
            </a:r>
            <a:endParaRPr lang="en-US" sz="1400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269974800158528"/>
          <c:y val="9.4049382716049401E-2"/>
          <c:w val="0.75577128713611652"/>
          <c:h val="0.8511400797122581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tx2">
                <a:lumMod val="60000"/>
                <a:lumOff val="40000"/>
              </a:schemeClr>
            </a:solidFill>
            <a:ln w="19050"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268-43B6-A8E4-63AABB959308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268-43B6-A8E4-63AABB959308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268-43B6-A8E4-63AABB959308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268-43B6-A8E4-63AABB959308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268-43B6-A8E4-63AABB959308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268-43B6-A8E4-63AABB959308}"/>
              </c:ext>
            </c:extLst>
          </c:dPt>
          <c:dPt>
            <c:idx val="6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8268-43B6-A8E4-63AABB959308}"/>
              </c:ext>
            </c:extLst>
          </c:dPt>
          <c:dPt>
            <c:idx val="7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8268-43B6-A8E4-63AABB959308}"/>
              </c:ext>
            </c:extLst>
          </c:dPt>
          <c:dPt>
            <c:idx val="8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8268-43B6-A8E4-63AABB959308}"/>
              </c:ext>
            </c:extLst>
          </c:dPt>
          <c:dPt>
            <c:idx val="9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8268-43B6-A8E4-63AABB959308}"/>
              </c:ext>
            </c:extLst>
          </c:dPt>
          <c:dPt>
            <c:idx val="10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8268-43B6-A8E4-63AABB959308}"/>
              </c:ext>
            </c:extLst>
          </c:dPt>
          <c:dPt>
            <c:idx val="11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8268-43B6-A8E4-63AABB959308}"/>
              </c:ext>
            </c:extLst>
          </c:dPt>
          <c:dPt>
            <c:idx val="12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8268-43B6-A8E4-63AABB959308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8268-43B6-A8E4-63AABB959308}"/>
              </c:ext>
            </c:extLst>
          </c:dPt>
          <c:dPt>
            <c:idx val="14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8268-43B6-A8E4-63AABB959308}"/>
              </c:ext>
            </c:extLst>
          </c:dPt>
          <c:dPt>
            <c:idx val="15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8268-43B6-A8E4-63AABB959308}"/>
              </c:ext>
            </c:extLst>
          </c:dPt>
          <c:dPt>
            <c:idx val="16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8268-43B6-A8E4-63AABB959308}"/>
              </c:ext>
            </c:extLst>
          </c:dPt>
          <c:dPt>
            <c:idx val="17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8268-43B6-A8E4-63AABB959308}"/>
              </c:ext>
            </c:extLst>
          </c:dPt>
          <c:dPt>
            <c:idx val="18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8268-43B6-A8E4-63AABB959308}"/>
              </c:ext>
            </c:extLst>
          </c:dPt>
          <c:dPt>
            <c:idx val="19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8268-43B6-A8E4-63AABB959308}"/>
              </c:ext>
            </c:extLst>
          </c:dPt>
          <c:dPt>
            <c:idx val="20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8268-43B6-A8E4-63AABB959308}"/>
              </c:ext>
            </c:extLst>
          </c:dPt>
          <c:dPt>
            <c:idx val="21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8268-43B6-A8E4-63AABB959308}"/>
              </c:ext>
            </c:extLst>
          </c:dPt>
          <c:dPt>
            <c:idx val="22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8268-43B6-A8E4-63AABB959308}"/>
              </c:ext>
            </c:extLst>
          </c:dPt>
          <c:dPt>
            <c:idx val="23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8268-43B6-A8E4-63AABB959308}"/>
              </c:ext>
            </c:extLst>
          </c:dPt>
          <c:dPt>
            <c:idx val="24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8268-43B6-A8E4-63AABB959308}"/>
              </c:ext>
            </c:extLst>
          </c:dPt>
          <c:dPt>
            <c:idx val="25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3-8268-43B6-A8E4-63AABB959308}"/>
              </c:ext>
            </c:extLst>
          </c:dPt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268-43B6-A8E4-63AABB959308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8268-43B6-A8E4-63AABB959308}"/>
                </c:ext>
              </c:extLst>
            </c:dLbl>
            <c:dLbl>
              <c:idx val="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8268-43B6-A8E4-63AABB959308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8268-43B6-A8E4-63AABB9593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'SCENARIO-1 '!$B$63:$B$91</c:f>
              <c:strCache>
                <c:ptCount val="29"/>
                <c:pt idx="0">
                  <c:v>رايد اون</c:v>
                </c:pt>
                <c:pt idx="1">
                  <c:v>بطارية رايد اون</c:v>
                </c:pt>
                <c:pt idx="2">
                  <c:v>تونجر شحن</c:v>
                </c:pt>
                <c:pt idx="3">
                  <c:v>فرش رايد اون</c:v>
                </c:pt>
                <c:pt idx="4">
                  <c:v>توينتك كهرباء</c:v>
                </c:pt>
                <c:pt idx="5">
                  <c:v>توينتك كهرباء مستعمل</c:v>
                </c:pt>
                <c:pt idx="6">
                  <c:v>توينتك بطارية</c:v>
                </c:pt>
                <c:pt idx="7">
                  <c:v>توينتك بطارية BOSS</c:v>
                </c:pt>
                <c:pt idx="8">
                  <c:v>سنجل ديسك BOSS</c:v>
                </c:pt>
                <c:pt idx="9">
                  <c:v>سنجل ديسك صيني</c:v>
                </c:pt>
                <c:pt idx="10">
                  <c:v>سنجل ديسك BOSS</c:v>
                </c:pt>
                <c:pt idx="11">
                  <c:v>هاي بريشر جرار "خدمة"</c:v>
                </c:pt>
                <c:pt idx="12">
                  <c:v>هاي بريشر 140 بار</c:v>
                </c:pt>
                <c:pt idx="13">
                  <c:v>هاي بريشر 180 بار</c:v>
                </c:pt>
                <c:pt idx="14">
                  <c:v>ماكينة كنس شوارع يدوي</c:v>
                </c:pt>
                <c:pt idx="15">
                  <c:v>ماكينة تنظيف سلالم</c:v>
                </c:pt>
                <c:pt idx="16">
                  <c:v>ماكينة تنظيف بالبخار</c:v>
                </c:pt>
                <c:pt idx="17">
                  <c:v>هوفر 3 موتور</c:v>
                </c:pt>
                <c:pt idx="18">
                  <c:v>هوفر 2 موتور</c:v>
                </c:pt>
                <c:pt idx="19">
                  <c:v>ترولي خدمات numatec</c:v>
                </c:pt>
                <c:pt idx="20">
                  <c:v>ترولي خدمات</c:v>
                </c:pt>
                <c:pt idx="21">
                  <c:v>ترولي اداره</c:v>
                </c:pt>
                <c:pt idx="22">
                  <c:v>صينية أدوات</c:v>
                </c:pt>
                <c:pt idx="23">
                  <c:v>باسكت قمامه اسود</c:v>
                </c:pt>
                <c:pt idx="24">
                  <c:v>براويطه</c:v>
                </c:pt>
                <c:pt idx="25">
                  <c:v>كوريك رفع اتربة</c:v>
                </c:pt>
                <c:pt idx="26">
                  <c:v>ترولي بارك</c:v>
                </c:pt>
                <c:pt idx="27">
                  <c:v>سلم 3 متر</c:v>
                </c:pt>
                <c:pt idx="28">
                  <c:v>سلم 6 متر</c:v>
                </c:pt>
              </c:strCache>
            </c:strRef>
          </c:cat>
          <c:val>
            <c:numRef>
              <c:f>'SCENARIO-1 '!$F$63:$F$91</c:f>
              <c:numCache>
                <c:formatCode>#,##0</c:formatCode>
                <c:ptCount val="29"/>
                <c:pt idx="0">
                  <c:v>2</c:v>
                </c:pt>
                <c:pt idx="1">
                  <c:v>8</c:v>
                </c:pt>
                <c:pt idx="2">
                  <c:v>4</c:v>
                </c:pt>
                <c:pt idx="3">
                  <c:v>8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8268-43B6-A8E4-63AABB959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9"/>
        <c:axId val="1554603215"/>
        <c:axId val="1556898671"/>
      </c:barChart>
      <c:valAx>
        <c:axId val="1556898671"/>
        <c:scaling>
          <c:orientation val="minMax"/>
          <c:max val="4"/>
        </c:scaling>
        <c:delete val="0"/>
        <c:axPos val="b"/>
        <c:majorGridlines>
          <c:spPr>
            <a:ln w="9525" cap="flat" cmpd="sng" algn="ctr">
              <a:solidFill>
                <a:schemeClr val="accent1">
                  <a:alpha val="18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4603215"/>
        <c:crosses val="autoZero"/>
        <c:crossBetween val="between"/>
        <c:majorUnit val="1"/>
      </c:valAx>
      <c:catAx>
        <c:axId val="155460321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68986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6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ar-EG" sz="1400" b="1">
                <a:solidFill>
                  <a:schemeClr val="bg1"/>
                </a:solidFill>
              </a:rPr>
              <a:t>أهلاك الماكينات</a:t>
            </a:r>
            <a:endParaRPr lang="en-US" sz="1400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6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8CE-4604-97A1-FD190DE47F84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8CE-4604-97A1-FD190DE47F84}"/>
                </c:ext>
              </c:extLst>
            </c:dLbl>
            <c:dLbl>
              <c:idx val="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8CE-4604-97A1-FD190DE47F84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8CE-4604-97A1-FD190DE47F8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'SCENARIO-1 '!$B$63:$B$91</c:f>
              <c:strCache>
                <c:ptCount val="29"/>
                <c:pt idx="0">
                  <c:v>رايد اون</c:v>
                </c:pt>
                <c:pt idx="1">
                  <c:v>بطارية رايد اون</c:v>
                </c:pt>
                <c:pt idx="2">
                  <c:v>تونجر شحن</c:v>
                </c:pt>
                <c:pt idx="3">
                  <c:v>فرش رايد اون</c:v>
                </c:pt>
                <c:pt idx="4">
                  <c:v>توينتك كهرباء</c:v>
                </c:pt>
                <c:pt idx="5">
                  <c:v>توينتك كهرباء مستعمل</c:v>
                </c:pt>
                <c:pt idx="6">
                  <c:v>توينتك بطارية</c:v>
                </c:pt>
                <c:pt idx="7">
                  <c:v>توينتك بطارية BOSS</c:v>
                </c:pt>
                <c:pt idx="8">
                  <c:v>سنجل ديسك BOSS</c:v>
                </c:pt>
                <c:pt idx="9">
                  <c:v>سنجل ديسك صيني</c:v>
                </c:pt>
                <c:pt idx="10">
                  <c:v>سنجل ديسك BOSS</c:v>
                </c:pt>
                <c:pt idx="11">
                  <c:v>هاي بريشر جرار "خدمة"</c:v>
                </c:pt>
                <c:pt idx="12">
                  <c:v>هاي بريشر 140 بار</c:v>
                </c:pt>
                <c:pt idx="13">
                  <c:v>هاي بريشر 180 بار</c:v>
                </c:pt>
                <c:pt idx="14">
                  <c:v>ماكينة كنس شوارع يدوي</c:v>
                </c:pt>
                <c:pt idx="15">
                  <c:v>ماكينة تنظيف سلالم</c:v>
                </c:pt>
                <c:pt idx="16">
                  <c:v>ماكينة تنظيف بالبخار</c:v>
                </c:pt>
                <c:pt idx="17">
                  <c:v>هوفر 3 موتور</c:v>
                </c:pt>
                <c:pt idx="18">
                  <c:v>هوفر 2 موتور</c:v>
                </c:pt>
                <c:pt idx="19">
                  <c:v>ترولي خدمات numatec</c:v>
                </c:pt>
                <c:pt idx="20">
                  <c:v>ترولي خدمات</c:v>
                </c:pt>
                <c:pt idx="21">
                  <c:v>ترولي اداره</c:v>
                </c:pt>
                <c:pt idx="22">
                  <c:v>صينية أدوات</c:v>
                </c:pt>
                <c:pt idx="23">
                  <c:v>باسكت قمامه اسود</c:v>
                </c:pt>
                <c:pt idx="24">
                  <c:v>براويطه</c:v>
                </c:pt>
                <c:pt idx="25">
                  <c:v>كوريك رفع اتربة</c:v>
                </c:pt>
                <c:pt idx="26">
                  <c:v>ترولي بارك</c:v>
                </c:pt>
                <c:pt idx="27">
                  <c:v>سلم 3 متر</c:v>
                </c:pt>
                <c:pt idx="28">
                  <c:v>سلم 6 متر</c:v>
                </c:pt>
              </c:strCache>
            </c:strRef>
          </c:cat>
          <c:val>
            <c:numRef>
              <c:f>'SCENARIO-1 '!$G$63:$G$91</c:f>
              <c:numCache>
                <c:formatCode>#,##0</c:formatCode>
                <c:ptCount val="29"/>
                <c:pt idx="0">
                  <c:v>47222.222222222219</c:v>
                </c:pt>
                <c:pt idx="1">
                  <c:v>2155.5555555555557</c:v>
                </c:pt>
                <c:pt idx="2">
                  <c:v>2311.1111111111113</c:v>
                </c:pt>
                <c:pt idx="3">
                  <c:v>900</c:v>
                </c:pt>
                <c:pt idx="4">
                  <c:v>4722.2222222222226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1402.7777777777778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847.22222222222217</c:v>
                </c:pt>
                <c:pt idx="18">
                  <c:v>0</c:v>
                </c:pt>
                <c:pt idx="19">
                  <c:v>0</c:v>
                </c:pt>
                <c:pt idx="20">
                  <c:v>722.22222222222217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CE-4604-97A1-FD190DE47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54608975"/>
        <c:axId val="1556895199"/>
      </c:barChart>
      <c:catAx>
        <c:axId val="1554608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5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6895199"/>
        <c:crosses val="autoZero"/>
        <c:auto val="1"/>
        <c:lblAlgn val="ctr"/>
        <c:lblOffset val="100"/>
        <c:noMultiLvlLbl val="0"/>
      </c:catAx>
      <c:valAx>
        <c:axId val="1556895199"/>
        <c:scaling>
          <c:orientation val="minMax"/>
          <c:max val="30000"/>
        </c:scaling>
        <c:delete val="0"/>
        <c:axPos val="b"/>
        <c:majorGridlines>
          <c:spPr>
            <a:ln w="9525" cap="flat" cmpd="sng" algn="ctr">
              <a:solidFill>
                <a:schemeClr val="accent1">
                  <a:alpha val="18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5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4608975"/>
        <c:crosses val="autoZero"/>
        <c:crossBetween val="between"/>
        <c:majorUnit val="5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en-US" sz="1050" b="0" i="0" u="none" strike="noStrike" kern="1200" baseline="0">
          <a:solidFill>
            <a:schemeClr val="tx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60" b="0" i="0" u="none" strike="noStrike" kern="1200" spc="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ar-EG" sz="1400" b="1">
                <a:solidFill>
                  <a:schemeClr val="bg1"/>
                </a:solidFill>
              </a:rPr>
              <a:t>كميات المستهلاكات</a:t>
            </a:r>
            <a:endParaRPr lang="en-US" sz="1400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60" b="0" i="0" u="none" strike="noStrike" kern="1200" spc="0" baseline="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'SCENARIO-1 '!$B$104:$B$150</c:f>
              <c:strCache>
                <c:ptCount val="47"/>
                <c:pt idx="0">
                  <c:v>أكياس أزرق</c:v>
                </c:pt>
                <c:pt idx="1">
                  <c:v>أكياس وسط</c:v>
                </c:pt>
                <c:pt idx="2">
                  <c:v>أكياس صغيرة</c:v>
                </c:pt>
                <c:pt idx="3">
                  <c:v>فلات موب</c:v>
                </c:pt>
                <c:pt idx="4">
                  <c:v>غيار فلات</c:v>
                </c:pt>
                <c:pt idx="5">
                  <c:v>شراشيب</c:v>
                </c:pt>
                <c:pt idx="6">
                  <c:v>فوط أرض</c:v>
                </c:pt>
                <c:pt idx="7">
                  <c:v>فوط مكتب</c:v>
                </c:pt>
                <c:pt idx="8">
                  <c:v>فوط زجاج</c:v>
                </c:pt>
                <c:pt idx="9">
                  <c:v>بليدج</c:v>
                </c:pt>
                <c:pt idx="10">
                  <c:v>بليدج سائل</c:v>
                </c:pt>
                <c:pt idx="11">
                  <c:v>جلانس</c:v>
                </c:pt>
                <c:pt idx="12">
                  <c:v>ديتول</c:v>
                </c:pt>
                <c:pt idx="13">
                  <c:v>ديتول اصلي</c:v>
                </c:pt>
                <c:pt idx="14">
                  <c:v>معطر فريده هوم</c:v>
                </c:pt>
                <c:pt idx="15">
                  <c:v>معطر TCL</c:v>
                </c:pt>
                <c:pt idx="16">
                  <c:v>معطر جو جليد</c:v>
                </c:pt>
                <c:pt idx="17">
                  <c:v>فلاش</c:v>
                </c:pt>
                <c:pt idx="18">
                  <c:v>سلك</c:v>
                </c:pt>
                <c:pt idx="19">
                  <c:v>لباد</c:v>
                </c:pt>
                <c:pt idx="20">
                  <c:v>جاروف</c:v>
                </c:pt>
                <c:pt idx="21">
                  <c:v>مقشات الهلال والنجمه</c:v>
                </c:pt>
                <c:pt idx="22">
                  <c:v>طقم مقشه وجاروف أسود</c:v>
                </c:pt>
                <c:pt idx="23">
                  <c:v>مساحة 60 سم بلاستيك</c:v>
                </c:pt>
                <c:pt idx="24">
                  <c:v>مساحة 60 سم استانلس</c:v>
                </c:pt>
                <c:pt idx="25">
                  <c:v>ملمع استانلس</c:v>
                </c:pt>
                <c:pt idx="26">
                  <c:v>غيار مقص 80</c:v>
                </c:pt>
                <c:pt idx="27">
                  <c:v>مقشة شارع</c:v>
                </c:pt>
                <c:pt idx="28">
                  <c:v>جونتي تلميع</c:v>
                </c:pt>
                <c:pt idx="29">
                  <c:v>غيار مقص 1 متر</c:v>
                </c:pt>
                <c:pt idx="30">
                  <c:v>بله واسكويزر</c:v>
                </c:pt>
                <c:pt idx="31">
                  <c:v>يد بول 3متر</c:v>
                </c:pt>
                <c:pt idx="32">
                  <c:v>صابون ارضيات</c:v>
                </c:pt>
                <c:pt idx="33">
                  <c:v>صابون  تكنو بلس</c:v>
                </c:pt>
                <c:pt idx="34">
                  <c:v>مسحوق غسيل</c:v>
                </c:pt>
                <c:pt idx="35">
                  <c:v>سكينة معجون</c:v>
                </c:pt>
                <c:pt idx="36">
                  <c:v>فرشة تواليت</c:v>
                </c:pt>
                <c:pt idx="37">
                  <c:v>معطر </c:v>
                </c:pt>
                <c:pt idx="38">
                  <c:v>اسبونش</c:v>
                </c:pt>
                <c:pt idx="39">
                  <c:v>كلور</c:v>
                </c:pt>
                <c:pt idx="40">
                  <c:v>زعافه</c:v>
                </c:pt>
                <c:pt idx="41">
                  <c:v>خرطوم مياه 100 متر</c:v>
                </c:pt>
                <c:pt idx="42">
                  <c:v>جردل</c:v>
                </c:pt>
                <c:pt idx="43">
                  <c:v>فرشة بلاط</c:v>
                </c:pt>
                <c:pt idx="44">
                  <c:v>عصا خشب</c:v>
                </c:pt>
                <c:pt idx="45">
                  <c:v>مشبك موب معدن</c:v>
                </c:pt>
                <c:pt idx="46">
                  <c:v>علامة تحذيرية</c:v>
                </c:pt>
              </c:strCache>
            </c:strRef>
          </c:cat>
          <c:val>
            <c:numRef>
              <c:f>'SCENARIO-1 '!$D$104:$D$150</c:f>
              <c:numCache>
                <c:formatCode>#,##0</c:formatCode>
                <c:ptCount val="47"/>
                <c:pt idx="0">
                  <c:v>80</c:v>
                </c:pt>
                <c:pt idx="2">
                  <c:v>2</c:v>
                </c:pt>
                <c:pt idx="3">
                  <c:v>18</c:v>
                </c:pt>
                <c:pt idx="4">
                  <c:v>12</c:v>
                </c:pt>
                <c:pt idx="5">
                  <c:v>12</c:v>
                </c:pt>
                <c:pt idx="6">
                  <c:v>6</c:v>
                </c:pt>
                <c:pt idx="7">
                  <c:v>0.5</c:v>
                </c:pt>
                <c:pt idx="9">
                  <c:v>4</c:v>
                </c:pt>
                <c:pt idx="11">
                  <c:v>4</c:v>
                </c:pt>
                <c:pt idx="12">
                  <c:v>2</c:v>
                </c:pt>
                <c:pt idx="14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2</c:v>
                </c:pt>
                <c:pt idx="20">
                  <c:v>12</c:v>
                </c:pt>
                <c:pt idx="21">
                  <c:v>12</c:v>
                </c:pt>
                <c:pt idx="23">
                  <c:v>2</c:v>
                </c:pt>
                <c:pt idx="32">
                  <c:v>160</c:v>
                </c:pt>
                <c:pt idx="35">
                  <c:v>12</c:v>
                </c:pt>
                <c:pt idx="37">
                  <c:v>1</c:v>
                </c:pt>
                <c:pt idx="39">
                  <c:v>1</c:v>
                </c:pt>
                <c:pt idx="44">
                  <c:v>24</c:v>
                </c:pt>
                <c:pt idx="45">
                  <c:v>36</c:v>
                </c:pt>
                <c:pt idx="4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71-4A7E-8186-4FFF828C6E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94276687"/>
        <c:axId val="1556902639"/>
      </c:barChart>
      <c:catAx>
        <c:axId val="1694276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5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6902639"/>
        <c:crosses val="autoZero"/>
        <c:auto val="1"/>
        <c:lblAlgn val="ctr"/>
        <c:lblOffset val="100"/>
        <c:noMultiLvlLbl val="0"/>
      </c:catAx>
      <c:valAx>
        <c:axId val="1556902639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accent1">
                  <a:alpha val="18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5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94276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en-US" sz="1050" b="0" i="0" u="none" strike="noStrike" kern="1200" baseline="0">
          <a:solidFill>
            <a:schemeClr val="tx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60" b="0" i="0" u="none" strike="noStrike" kern="1200" spc="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ar-EG" sz="1400" b="1">
                <a:solidFill>
                  <a:schemeClr val="bg1"/>
                </a:solidFill>
              </a:rPr>
              <a:t>تكلفة المستهلاكات</a:t>
            </a:r>
            <a:endParaRPr lang="en-US" sz="1400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60" b="0" i="0" u="none" strike="noStrike" kern="1200" spc="0" baseline="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'SCENARIO-1 '!$B$104:$B$150</c:f>
              <c:strCache>
                <c:ptCount val="47"/>
                <c:pt idx="0">
                  <c:v>أكياس أزرق</c:v>
                </c:pt>
                <c:pt idx="1">
                  <c:v>أكياس وسط</c:v>
                </c:pt>
                <c:pt idx="2">
                  <c:v>أكياس صغيرة</c:v>
                </c:pt>
                <c:pt idx="3">
                  <c:v>فلات موب</c:v>
                </c:pt>
                <c:pt idx="4">
                  <c:v>غيار فلات</c:v>
                </c:pt>
                <c:pt idx="5">
                  <c:v>شراشيب</c:v>
                </c:pt>
                <c:pt idx="6">
                  <c:v>فوط أرض</c:v>
                </c:pt>
                <c:pt idx="7">
                  <c:v>فوط مكتب</c:v>
                </c:pt>
                <c:pt idx="8">
                  <c:v>فوط زجاج</c:v>
                </c:pt>
                <c:pt idx="9">
                  <c:v>بليدج</c:v>
                </c:pt>
                <c:pt idx="10">
                  <c:v>بليدج سائل</c:v>
                </c:pt>
                <c:pt idx="11">
                  <c:v>جلانس</c:v>
                </c:pt>
                <c:pt idx="12">
                  <c:v>ديتول</c:v>
                </c:pt>
                <c:pt idx="13">
                  <c:v>ديتول اصلي</c:v>
                </c:pt>
                <c:pt idx="14">
                  <c:v>معطر فريده هوم</c:v>
                </c:pt>
                <c:pt idx="15">
                  <c:v>معطر TCL</c:v>
                </c:pt>
                <c:pt idx="16">
                  <c:v>معطر جو جليد</c:v>
                </c:pt>
                <c:pt idx="17">
                  <c:v>فلاش</c:v>
                </c:pt>
                <c:pt idx="18">
                  <c:v>سلك</c:v>
                </c:pt>
                <c:pt idx="19">
                  <c:v>لباد</c:v>
                </c:pt>
                <c:pt idx="20">
                  <c:v>جاروف</c:v>
                </c:pt>
                <c:pt idx="21">
                  <c:v>مقشات الهلال والنجمه</c:v>
                </c:pt>
                <c:pt idx="22">
                  <c:v>طقم مقشه وجاروف أسود</c:v>
                </c:pt>
                <c:pt idx="23">
                  <c:v>مساحة 60 سم بلاستيك</c:v>
                </c:pt>
                <c:pt idx="24">
                  <c:v>مساحة 60 سم استانلس</c:v>
                </c:pt>
                <c:pt idx="25">
                  <c:v>ملمع استانلس</c:v>
                </c:pt>
                <c:pt idx="26">
                  <c:v>غيار مقص 80</c:v>
                </c:pt>
                <c:pt idx="27">
                  <c:v>مقشة شارع</c:v>
                </c:pt>
                <c:pt idx="28">
                  <c:v>جونتي تلميع</c:v>
                </c:pt>
                <c:pt idx="29">
                  <c:v>غيار مقص 1 متر</c:v>
                </c:pt>
                <c:pt idx="30">
                  <c:v>بله واسكويزر</c:v>
                </c:pt>
                <c:pt idx="31">
                  <c:v>يد بول 3متر</c:v>
                </c:pt>
                <c:pt idx="32">
                  <c:v>صابون ارضيات</c:v>
                </c:pt>
                <c:pt idx="33">
                  <c:v>صابون  تكنو بلس</c:v>
                </c:pt>
                <c:pt idx="34">
                  <c:v>مسحوق غسيل</c:v>
                </c:pt>
                <c:pt idx="35">
                  <c:v>سكينة معجون</c:v>
                </c:pt>
                <c:pt idx="36">
                  <c:v>فرشة تواليت</c:v>
                </c:pt>
                <c:pt idx="37">
                  <c:v>معطر </c:v>
                </c:pt>
                <c:pt idx="38">
                  <c:v>اسبونش</c:v>
                </c:pt>
                <c:pt idx="39">
                  <c:v>كلور</c:v>
                </c:pt>
                <c:pt idx="40">
                  <c:v>زعافه</c:v>
                </c:pt>
                <c:pt idx="41">
                  <c:v>خرطوم مياه 100 متر</c:v>
                </c:pt>
                <c:pt idx="42">
                  <c:v>جردل</c:v>
                </c:pt>
                <c:pt idx="43">
                  <c:v>فرشة بلاط</c:v>
                </c:pt>
                <c:pt idx="44">
                  <c:v>عصا خشب</c:v>
                </c:pt>
                <c:pt idx="45">
                  <c:v>مشبك موب معدن</c:v>
                </c:pt>
                <c:pt idx="46">
                  <c:v>علامة تحذيرية</c:v>
                </c:pt>
              </c:strCache>
            </c:strRef>
          </c:cat>
          <c:val>
            <c:numRef>
              <c:f>'SCENARIO-1 '!$G$104:$G$150</c:f>
              <c:numCache>
                <c:formatCode>#,##0</c:formatCode>
                <c:ptCount val="47"/>
                <c:pt idx="0">
                  <c:v>5890</c:v>
                </c:pt>
                <c:pt idx="1">
                  <c:v>0</c:v>
                </c:pt>
                <c:pt idx="2">
                  <c:v>147.25</c:v>
                </c:pt>
                <c:pt idx="3">
                  <c:v>480.9375</c:v>
                </c:pt>
                <c:pt idx="4">
                  <c:v>855</c:v>
                </c:pt>
                <c:pt idx="5">
                  <c:v>598.5</c:v>
                </c:pt>
                <c:pt idx="6">
                  <c:v>171</c:v>
                </c:pt>
                <c:pt idx="7">
                  <c:v>5.9375</c:v>
                </c:pt>
                <c:pt idx="8">
                  <c:v>0</c:v>
                </c:pt>
                <c:pt idx="9">
                  <c:v>237.5</c:v>
                </c:pt>
                <c:pt idx="10">
                  <c:v>0</c:v>
                </c:pt>
                <c:pt idx="11">
                  <c:v>171</c:v>
                </c:pt>
                <c:pt idx="12">
                  <c:v>99.75</c:v>
                </c:pt>
                <c:pt idx="13">
                  <c:v>0</c:v>
                </c:pt>
                <c:pt idx="14">
                  <c:v>285</c:v>
                </c:pt>
                <c:pt idx="15">
                  <c:v>0</c:v>
                </c:pt>
                <c:pt idx="16">
                  <c:v>0</c:v>
                </c:pt>
                <c:pt idx="17">
                  <c:v>133</c:v>
                </c:pt>
                <c:pt idx="18">
                  <c:v>1472.5</c:v>
                </c:pt>
                <c:pt idx="19">
                  <c:v>475</c:v>
                </c:pt>
                <c:pt idx="20">
                  <c:v>384.75</c:v>
                </c:pt>
                <c:pt idx="21">
                  <c:v>370.5</c:v>
                </c:pt>
                <c:pt idx="22">
                  <c:v>0</c:v>
                </c:pt>
                <c:pt idx="23">
                  <c:v>68.875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3325</c:v>
                </c:pt>
                <c:pt idx="33">
                  <c:v>0</c:v>
                </c:pt>
                <c:pt idx="34">
                  <c:v>0</c:v>
                </c:pt>
                <c:pt idx="35">
                  <c:v>33.25</c:v>
                </c:pt>
                <c:pt idx="36">
                  <c:v>0</c:v>
                </c:pt>
                <c:pt idx="37">
                  <c:v>273.125</c:v>
                </c:pt>
                <c:pt idx="38">
                  <c:v>0</c:v>
                </c:pt>
                <c:pt idx="39">
                  <c:v>130.625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456</c:v>
                </c:pt>
                <c:pt idx="45">
                  <c:v>338.4375</c:v>
                </c:pt>
                <c:pt idx="46">
                  <c:v>74.21875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2D-4A8D-838A-FEA7355FD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94255087"/>
        <c:axId val="1577545135"/>
      </c:barChart>
      <c:catAx>
        <c:axId val="1694255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5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7545135"/>
        <c:crosses val="autoZero"/>
        <c:auto val="1"/>
        <c:lblAlgn val="ctr"/>
        <c:lblOffset val="100"/>
        <c:noMultiLvlLbl val="0"/>
      </c:catAx>
      <c:valAx>
        <c:axId val="1577545135"/>
        <c:scaling>
          <c:orientation val="minMax"/>
          <c:max val="5000"/>
        </c:scaling>
        <c:delete val="0"/>
        <c:axPos val="b"/>
        <c:majorGridlines>
          <c:spPr>
            <a:ln w="9525" cap="flat" cmpd="sng" algn="ctr">
              <a:solidFill>
                <a:schemeClr val="accent1">
                  <a:alpha val="18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5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94255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en-US" sz="1050" b="0" i="0" u="none" strike="noStrike" kern="1200" baseline="0">
          <a:solidFill>
            <a:schemeClr val="tx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1"/>
          <c:order val="0"/>
          <c:spPr>
            <a:solidFill>
              <a:schemeClr val="accent2"/>
            </a:solidFill>
            <a:ln w="19050"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ABEC-4116-BC2C-9C71AB268C41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ABEC-4116-BC2C-9C71AB268C4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ABEC-4116-BC2C-9C71AB268C4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ABEC-4116-BC2C-9C71AB268C4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ABEC-4116-BC2C-9C71AB268C4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ABEC-4116-BC2C-9C71AB268C41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ABEC-4116-BC2C-9C71AB268C41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ABEC-4116-BC2C-9C71AB268C4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('SCENARIO-1 '!$B$178:$B$184,'SCENARIO-1 '!$B$190)</c:f>
              <c:strCache>
                <c:ptCount val="8"/>
                <c:pt idx="0">
                  <c:v>تكلفة العماله</c:v>
                </c:pt>
                <c:pt idx="1">
                  <c:v>مورد نقل عماله</c:v>
                </c:pt>
                <c:pt idx="2">
                  <c:v>سكن عمال</c:v>
                </c:pt>
                <c:pt idx="3">
                  <c:v>أهلاكات ماكينات ومعدات</c:v>
                </c:pt>
                <c:pt idx="4">
                  <c:v>تأجير هاي بريشر</c:v>
                </c:pt>
                <c:pt idx="5">
                  <c:v>صيانة ماكينات</c:v>
                </c:pt>
                <c:pt idx="6">
                  <c:v>أدوات ومستهلاكات</c:v>
                </c:pt>
                <c:pt idx="7">
                  <c:v>مصاريف أداري وعمومية </c:v>
                </c:pt>
              </c:strCache>
            </c:strRef>
          </c:cat>
          <c:val>
            <c:numRef>
              <c:f>('SCENARIO-1 '!$D$178:$D$184,'SCENARIO-1 '!$D$190)</c:f>
              <c:numCache>
                <c:formatCode>0%</c:formatCode>
                <c:ptCount val="8"/>
                <c:pt idx="0">
                  <c:v>0.65896838812025882</c:v>
                </c:pt>
                <c:pt idx="1">
                  <c:v>0.19022196876122294</c:v>
                </c:pt>
                <c:pt idx="2">
                  <c:v>0</c:v>
                </c:pt>
                <c:pt idx="3">
                  <c:v>7.7064612568250812E-2</c:v>
                </c:pt>
                <c:pt idx="4">
                  <c:v>0</c:v>
                </c:pt>
                <c:pt idx="5" formatCode="0.0%">
                  <c:v>7.7064612568250824E-3</c:v>
                </c:pt>
                <c:pt idx="6">
                  <c:v>2.1063959015196837E-2</c:v>
                </c:pt>
                <c:pt idx="7">
                  <c:v>4.4974610278245446E-2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ABEC-4116-BC2C-9C71AB268C41}"/>
            </c:ext>
          </c:extLst>
        </c:ser>
        <c:ser>
          <c:idx val="0"/>
          <c:order val="1"/>
          <c:spPr>
            <a:solidFill>
              <a:schemeClr val="accent1"/>
            </a:solidFill>
            <a:ln w="19050"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BEC-4116-BC2C-9C71AB268C41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BEC-4116-BC2C-9C71AB268C4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BEC-4116-BC2C-9C71AB268C4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BEC-4116-BC2C-9C71AB268C4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BEC-4116-BC2C-9C71AB268C4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BEC-4116-BC2C-9C71AB268C41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ABEC-4116-BC2C-9C71AB268C41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ABEC-4116-BC2C-9C71AB268C4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('SCENARIO-1 '!$B$178:$B$184,'SCENARIO-1 '!$B$190)</c:f>
              <c:strCache>
                <c:ptCount val="8"/>
                <c:pt idx="0">
                  <c:v>تكلفة العماله</c:v>
                </c:pt>
                <c:pt idx="1">
                  <c:v>مورد نقل عماله</c:v>
                </c:pt>
                <c:pt idx="2">
                  <c:v>سكن عمال</c:v>
                </c:pt>
                <c:pt idx="3">
                  <c:v>أهلاكات ماكينات ومعدات</c:v>
                </c:pt>
                <c:pt idx="4">
                  <c:v>تأجير هاي بريشر</c:v>
                </c:pt>
                <c:pt idx="5">
                  <c:v>صيانة ماكينات</c:v>
                </c:pt>
                <c:pt idx="6">
                  <c:v>أدوات ومستهلاكات</c:v>
                </c:pt>
                <c:pt idx="7">
                  <c:v>مصاريف أداري وعمومية </c:v>
                </c:pt>
              </c:strCache>
            </c:strRef>
          </c:cat>
          <c:val>
            <c:numRef>
              <c:f>('SCENARIO-1 '!$C$178:$C$184,'SCENARIO-1 '!$C$190)</c:f>
              <c:numCache>
                <c:formatCode>#,##0</c:formatCode>
                <c:ptCount val="8"/>
                <c:pt idx="0">
                  <c:v>515474.08951159526</c:v>
                </c:pt>
                <c:pt idx="1">
                  <c:v>148800</c:v>
                </c:pt>
                <c:pt idx="2">
                  <c:v>0</c:v>
                </c:pt>
                <c:pt idx="3">
                  <c:v>60283.333333333328</c:v>
                </c:pt>
                <c:pt idx="4">
                  <c:v>0</c:v>
                </c:pt>
                <c:pt idx="5">
                  <c:v>6028.333333333333</c:v>
                </c:pt>
                <c:pt idx="6">
                  <c:v>16477.15625</c:v>
                </c:pt>
                <c:pt idx="7">
                  <c:v>35181.120524535036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BEC-4116-BC2C-9C71AB268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320970847"/>
        <c:axId val="1208414959"/>
      </c:barChart>
      <c:valAx>
        <c:axId val="1208414959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1320970847"/>
        <c:crosses val="autoZero"/>
        <c:crossBetween val="between"/>
      </c:valAx>
      <c:catAx>
        <c:axId val="132097084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084149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EG" b="1">
                <a:solidFill>
                  <a:schemeClr val="bg1"/>
                </a:solidFill>
              </a:rPr>
              <a:t>صافي الربح معدل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EG" b="1">
                <a:solidFill>
                  <a:schemeClr val="bg1"/>
                </a:solidFill>
              </a:rPr>
              <a:t>سعر البيع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'SCENARIO-1 '!$B$176</c:f>
              <c:strCache>
                <c:ptCount val="1"/>
                <c:pt idx="0">
                  <c:v>سعر البيع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88B-49B2-8817-70B73275E9AC}"/>
              </c:ext>
            </c:extLst>
          </c:dPt>
          <c:dLbls>
            <c:dLbl>
              <c:idx val="0"/>
              <c:layout>
                <c:manualLayout>
                  <c:x val="-1.1054352741989727E-3"/>
                  <c:y val="-0.36241057242426639"/>
                </c:manualLayout>
              </c:layout>
              <c:tx>
                <c:rich>
                  <a:bodyPr/>
                  <a:lstStyle/>
                  <a:p>
                    <a:fld id="{B1D1A87F-958A-408B-B891-2EAF7762C2F0}" type="VALUE">
                      <a:rPr lang="en-US" sz="2000" b="1">
                        <a:solidFill>
                          <a:schemeClr val="bg1"/>
                        </a:solidFill>
                        <a:latin typeface="Bahnschrift SemiLight SemiConde" panose="020B0502040204020203" pitchFamily="34" charset="0"/>
                      </a:rPr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C88B-49B2-8817-70B73275E9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'SCENARIO-1 '!$C$176</c:f>
              <c:numCache>
                <c:formatCode>#,##0</c:formatCode>
                <c:ptCount val="1"/>
                <c:pt idx="0">
                  <c:v>930000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8B-49B2-8817-70B73275E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ar-EG" sz="1400" b="1">
                <a:solidFill>
                  <a:schemeClr val="bg1"/>
                </a:solidFill>
              </a:rPr>
              <a:t>أجمالي الربح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'SCENARIO-1 '!$B$186</c:f>
              <c:strCache>
                <c:ptCount val="1"/>
                <c:pt idx="0">
                  <c:v>أجمالي الربح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8FB-4C4A-9198-6079F9BD1982}"/>
              </c:ext>
            </c:extLst>
          </c:dPt>
          <c:dLbls>
            <c:dLbl>
              <c:idx val="0"/>
              <c:layout>
                <c:manualLayout>
                  <c:x val="-5.23987615505659E-3"/>
                  <c:y val="-0.362013671483835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8FB-4C4A-9198-6079F9BD1982}"/>
                </c:ext>
              </c:extLst>
            </c:dLbl>
            <c:numFmt formatCode="#,##0;[Red]\(#,##0\);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ctr">
                  <a:defRPr lang="en-US" sz="2000" b="1" i="0" u="none" strike="noStrike" kern="1200" baseline="0">
                    <a:solidFill>
                      <a:schemeClr val="bg1"/>
                    </a:solidFill>
                    <a:latin typeface="Bahnschrift SemiLight SemiConde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'SCENARIO-1 '!$C$186</c:f>
              <c:numCache>
                <c:formatCode>#,##0</c:formatCode>
                <c:ptCount val="1"/>
                <c:pt idx="0">
                  <c:v>182937.08757173805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FB-4C4A-9198-6079F9BD1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EG" b="1">
                <a:solidFill>
                  <a:schemeClr val="bg1"/>
                </a:solidFill>
              </a:rPr>
              <a:t>صافي الربح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'SCENARIO-1 '!$B$197</c:f>
              <c:strCache>
                <c:ptCount val="1"/>
                <c:pt idx="0">
                  <c:v>صافي الدخل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D2A-4BB5-B97D-F57233234883}"/>
              </c:ext>
            </c:extLst>
          </c:dPt>
          <c:dLbls>
            <c:dLbl>
              <c:idx val="0"/>
              <c:layout>
                <c:manualLayout>
                  <c:x val="-1.2522451919658453E-3"/>
                  <c:y val="-0.3661970717515732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D2A-4BB5-B97D-F57233234883}"/>
                </c:ext>
              </c:extLst>
            </c:dLbl>
            <c:numFmt formatCode="#,##0;[Red]\(#,##0\);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2000" b="1" i="0" u="none" strike="noStrike" kern="1200" baseline="0">
                    <a:solidFill>
                      <a:schemeClr val="bg1"/>
                    </a:solidFill>
                    <a:latin typeface="Bahnschrift SemiLight SemiConde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'SCENARIO-1 '!$C$197</c:f>
              <c:numCache>
                <c:formatCode>#,##0</c:formatCode>
                <c:ptCount val="1"/>
                <c:pt idx="0">
                  <c:v>105905.96704720298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2A-4BB5-B97D-F57233234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ar-EG"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ar-EG"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rPr>
              <a:t>صافي هامش الربح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ar-EG"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'SCENARIO-1 '!$B$202</c:f>
              <c:strCache>
                <c:ptCount val="1"/>
                <c:pt idx="0">
                  <c:v>NET PROFIT MARGIN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510-43E9-B5AF-6DE129F9839B}"/>
              </c:ext>
            </c:extLst>
          </c:dPt>
          <c:dLbls>
            <c:dLbl>
              <c:idx val="0"/>
              <c:layout>
                <c:manualLayout>
                  <c:x val="2.1217257295134927E-3"/>
                  <c:y val="-0.3885085398461738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510-43E9-B5AF-6DE129F983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2000" b="1" i="0" u="none" strike="noStrike" kern="1200" baseline="0">
                    <a:solidFill>
                      <a:sysClr val="window" lastClr="FFFFFF"/>
                    </a:solidFill>
                    <a:latin typeface="Bahnschrift SemiLight SemiConde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'SCENARIO-1 '!$C$202</c:f>
              <c:numCache>
                <c:formatCode>0%</c:formatCode>
                <c:ptCount val="1"/>
                <c:pt idx="0">
                  <c:v>0.11387738392172364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10-43E9-B5AF-6DE129F98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EG" b="1">
                <a:solidFill>
                  <a:schemeClr val="bg1"/>
                </a:solidFill>
              </a:rPr>
              <a:t>المصروف</a:t>
            </a:r>
            <a:r>
              <a:rPr lang="ar-EG" b="1" baseline="0">
                <a:solidFill>
                  <a:schemeClr val="bg1"/>
                </a:solidFill>
              </a:rPr>
              <a:t> الرأسمالي</a:t>
            </a:r>
            <a:endParaRPr lang="en-US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654-4ABB-A9D6-EEAD82AAC68C}"/>
              </c:ext>
            </c:extLst>
          </c:dPt>
          <c:dLbls>
            <c:dLbl>
              <c:idx val="0"/>
              <c:layout>
                <c:manualLayout>
                  <c:x val="-1.2523418009144616E-3"/>
                  <c:y val="-0.3720230879774566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654-4ABB-A9D6-EEAD82AAC6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 rtl="0">
                  <a:defRPr lang="en-US" sz="2000" b="1" i="0" u="none" strike="noStrike" kern="1200" baseline="0">
                    <a:solidFill>
                      <a:sysClr val="window" lastClr="FFFFFF"/>
                    </a:solidFill>
                    <a:latin typeface="Bahnschrift SemiLight SemiConde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'SCENARIO-1 '!$H$62</c:f>
              <c:strCache>
                <c:ptCount val="1"/>
                <c:pt idx="0">
                  <c:v>المصروف الرأسمالي</c:v>
                </c:pt>
              </c:strCache>
            </c:strRef>
          </c:cat>
          <c:val>
            <c:numRef>
              <c:f>'SCENARIO-1 '!$H$92</c:f>
              <c:numCache>
                <c:formatCode>#,##0</c:formatCode>
                <c:ptCount val="1"/>
                <c:pt idx="0">
                  <c:v>2170200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54-4ABB-A9D6-EEAD82AAC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EG" b="1">
                <a:solidFill>
                  <a:schemeClr val="bg1"/>
                </a:solidFill>
                <a:cs typeface="+mn-cs"/>
              </a:rPr>
              <a:t>صافي التدفق المالي المخصوم-</a:t>
            </a:r>
            <a:r>
              <a:rPr lang="en-US" b="1">
                <a:solidFill>
                  <a:schemeClr val="bg1"/>
                </a:solidFill>
                <a:cs typeface="+mn-cs"/>
              </a:rPr>
              <a:t>NPV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'D.C.F'!$B$14</c:f>
              <c:strCache>
                <c:ptCount val="1"/>
                <c:pt idx="0">
                  <c:v>صافي التدفق المالي المخصوم-NPV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06F-4E0D-874C-14695F6C3B91}"/>
              </c:ext>
            </c:extLst>
          </c:dPt>
          <c:dLbls>
            <c:dLbl>
              <c:idx val="0"/>
              <c:layout>
                <c:manualLayout>
                  <c:x val="-2.5601371383392387E-5"/>
                  <c:y val="-0.30369421693774218"/>
                </c:manualLayout>
              </c:layout>
              <c:numFmt formatCode="#,##0;[Red]\(#,##0\);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2000" b="1" i="0" u="none" strike="noStrike" kern="1200" baseline="0">
                      <a:solidFill>
                        <a:sysClr val="window" lastClr="FFFFFF"/>
                      </a:solidFill>
                      <a:latin typeface="Bahnschrift SemiLight SemiConde" panose="020B05020402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493129171574399"/>
                      <c:h val="0.2845269968763944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306F-4E0D-874C-14695F6C3B91}"/>
                </c:ext>
              </c:extLst>
            </c:dLbl>
            <c:numFmt formatCode="#,##0.00;[Red]\(#,##0.00\);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2000" b="1" i="0" u="none" strike="noStrike" kern="1200" baseline="0">
                    <a:solidFill>
                      <a:sysClr val="window" lastClr="FFFFFF"/>
                    </a:solidFill>
                    <a:latin typeface="Bahnschrift SemiLight SemiConde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'D.C.F'!$C$14</c:f>
              <c:numCache>
                <c:formatCode>_(* #,##0_);_(* \(#,##0\);_(* "-"??_);_(@_)</c:formatCode>
                <c:ptCount val="1"/>
                <c:pt idx="0">
                  <c:v>539857.92941329023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6F-4E0D-874C-14695F6C3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EG" b="1">
                <a:solidFill>
                  <a:schemeClr val="bg1"/>
                </a:solidFill>
                <a:cs typeface="+mn-cs"/>
              </a:rPr>
              <a:t>معدل العائد الداخلي-</a:t>
            </a:r>
            <a:r>
              <a:rPr lang="en-US" b="1">
                <a:solidFill>
                  <a:schemeClr val="bg1"/>
                </a:solidFill>
                <a:cs typeface="+mn-cs"/>
              </a:rPr>
              <a:t>IRR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'D.C.F'!$B$16</c:f>
              <c:strCache>
                <c:ptCount val="1"/>
                <c:pt idx="0">
                  <c:v>معدل العائد الداخلي-IRR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7D4-470A-9098-DF7F7A74197F}"/>
              </c:ext>
            </c:extLst>
          </c:dPt>
          <c:dLbls>
            <c:dLbl>
              <c:idx val="0"/>
              <c:layout>
                <c:manualLayout>
                  <c:x val="-3.3214156534320133E-4"/>
                  <c:y val="-0.3664452209538064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D4-470A-9098-DF7F7A7419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2000" b="1" i="0" u="none" strike="noStrike" kern="1200" baseline="0">
                    <a:solidFill>
                      <a:sysClr val="window" lastClr="FFFFFF"/>
                    </a:solidFill>
                    <a:latin typeface="Bahnschrift SemiLight SemiConde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'D.C.F'!$C$16</c:f>
              <c:numCache>
                <c:formatCode>0%</c:formatCode>
                <c:ptCount val="1"/>
                <c:pt idx="0">
                  <c:v>0.65259524867905561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D4-470A-9098-DF7F7A741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'D.C.F'!$B$18</c:f>
              <c:strCache>
                <c:ptCount val="1"/>
                <c:pt idx="0">
                  <c:v>معدل الربح-PI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84D-4A81-9C70-C829125274B1}"/>
              </c:ext>
            </c:extLst>
          </c:dPt>
          <c:dLbls>
            <c:dLbl>
              <c:idx val="0"/>
              <c:layout>
                <c:manualLayout>
                  <c:x val="-3.7061124868225394E-3"/>
                  <c:y val="-0.3706286212215441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84D-4A81-9C70-C829125274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2000" b="1" i="0" u="none" strike="noStrike" kern="1200" baseline="0">
                    <a:solidFill>
                      <a:sysClr val="window" lastClr="FFFFFF"/>
                    </a:solidFill>
                    <a:latin typeface="Bahnschrift SemiLight SemiConde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'D.C.F'!$C$18</c:f>
              <c:numCache>
                <c:formatCode>_(* #,##0.00_);_(* \(#,##0.00\);_(* "-"??_);_(@_)</c:formatCode>
                <c:ptCount val="1"/>
                <c:pt idx="0">
                  <c:v>1.248759528805313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4D-4A81-9C70-C82912527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'B.E.P'!$B$42</c:f>
              <c:strCache>
                <c:ptCount val="1"/>
                <c:pt idx="0">
                  <c:v>نسبة هامش المساهمة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509-4817-BDEE-A13140F70700}"/>
              </c:ext>
            </c:extLst>
          </c:dPt>
          <c:dLbls>
            <c:dLbl>
              <c:idx val="0"/>
              <c:layout>
                <c:manualLayout>
                  <c:x val="2.1217257295134927E-3"/>
                  <c:y val="-0.3773528057988735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509-4817-BDEE-A13140F707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2000" b="1" i="0" u="none" strike="noStrike" kern="1200" baseline="0">
                    <a:solidFill>
                      <a:sysClr val="window" lastClr="FFFFFF"/>
                    </a:solidFill>
                    <a:latin typeface="Bahnschrift SemiLight SemiConde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'B.E.P'!$C$42</c:f>
              <c:numCache>
                <c:formatCode>0%</c:formatCode>
                <c:ptCount val="1"/>
                <c:pt idx="0">
                  <c:v>0.44572678547140288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09-4817-BDEE-A13140F70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OPE.LEVERAGE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'B.E.P'!$B$44</c:f>
              <c:strCache>
                <c:ptCount val="1"/>
                <c:pt idx="0">
                  <c:v>OPE.LEVERAGE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00E-4EF0-9414-EB62B2B5A5F7}"/>
              </c:ext>
            </c:extLst>
          </c:dPt>
          <c:dLbls>
            <c:dLbl>
              <c:idx val="0"/>
              <c:layout>
                <c:manualLayout>
                  <c:x val="4.5755930243701866E-3"/>
                  <c:y val="-0.3689860052633983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00E-4EF0-9414-EB62B2B5A5F7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2000" b="1" i="0" u="none" strike="noStrike" kern="1200" baseline="0">
                    <a:solidFill>
                      <a:sysClr val="window" lastClr="FFFFFF"/>
                    </a:solidFill>
                    <a:latin typeface="Bahnschrift SemiLight SemiConde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'B.E.P'!$C$44</c:f>
              <c:numCache>
                <c:formatCode>0%</c:formatCode>
                <c:ptCount val="1"/>
                <c:pt idx="0">
                  <c:v>3.9140940028775506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0E-4EF0-9414-EB62B2B5A5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EG" b="1">
                <a:solidFill>
                  <a:schemeClr val="bg1"/>
                </a:solidFill>
              </a:rPr>
              <a:t>صافي هامش الربح المعدل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EG" sz="1600" b="1" u="none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المبيعات</a:t>
            </a:r>
            <a:r>
              <a:rPr lang="ar-EG" sz="1600" b="1" u="none" baseline="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والارباح</a:t>
            </a:r>
            <a:endParaRPr lang="en-US" sz="1600" b="1" u="non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42890665798558125"/>
          <c:y val="3.14857973620105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'P&amp;L'!$B$31</c:f>
              <c:strCache>
                <c:ptCount val="1"/>
                <c:pt idx="0">
                  <c:v>أجمالي الدخل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'P&amp;L'!$C$30:$E$30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'P&amp;L'!$C$31:$E$31</c:f>
              <c:numCache>
                <c:formatCode>_(* #,##0_);_(* \(#,##0\);_(* "-"??_);_(@_)</c:formatCode>
                <c:ptCount val="3"/>
                <c:pt idx="0">
                  <c:v>11160000</c:v>
                </c:pt>
                <c:pt idx="1">
                  <c:v>12276000.000000002</c:v>
                </c:pt>
                <c:pt idx="2">
                  <c:v>13503600.000000004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CB-4FEF-8D79-EBC90B3C8A58}"/>
            </c:ext>
          </c:extLst>
        </c:ser>
        <c:ser>
          <c:idx val="1"/>
          <c:order val="1"/>
          <c:tx>
            <c:strRef>
              <c:f>'P&amp;L'!$B$32</c:f>
              <c:strCache>
                <c:ptCount val="1"/>
                <c:pt idx="0">
                  <c:v>أجمالي المصاريف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'P&amp;L'!$C$30:$E$30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'P&amp;L'!$C$32:$E$32</c:f>
              <c:numCache>
                <c:formatCode>_(* #,##0_);_(* \(#,##0\);_(* "-"??_);_(@_)</c:formatCode>
                <c:ptCount val="3"/>
                <c:pt idx="0">
                  <c:v>9889128.3954335637</c:v>
                </c:pt>
                <c:pt idx="1">
                  <c:v>11238877.654748598</c:v>
                </c:pt>
                <c:pt idx="2">
                  <c:v>12788578.302960888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CB-4FEF-8D79-EBC90B3C8A58}"/>
            </c:ext>
          </c:extLst>
        </c:ser>
        <c:ser>
          <c:idx val="2"/>
          <c:order val="2"/>
          <c:tx>
            <c:strRef>
              <c:f>'P&amp;L'!$B$33</c:f>
              <c:strCache>
                <c:ptCount val="1"/>
                <c:pt idx="0">
                  <c:v>صافي الدخل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'P&amp;L'!$C$30:$E$30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'P&amp;L'!$C$33:$E$33</c:f>
              <c:numCache>
                <c:formatCode>_(* #,##0_);_(* \(#,##0\);_(* "-"??_);_(@_)</c:formatCode>
                <c:ptCount val="3"/>
                <c:pt idx="0">
                  <c:v>1270871.6045664363</c:v>
                </c:pt>
                <c:pt idx="1">
                  <c:v>1037122.3452514037</c:v>
                </c:pt>
                <c:pt idx="2">
                  <c:v>715021.69703911617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CB-4FEF-8D79-EBC90B3C8A58}"/>
            </c:ext>
          </c:extLst>
        </c:ser>
        <c:ser>
          <c:idx val="3"/>
          <c:order val="3"/>
          <c:tx>
            <c:strRef>
              <c:f>'P&amp;L'!$B$34</c:f>
              <c:strCache>
                <c:ptCount val="1"/>
                <c:pt idx="0">
                  <c:v>القيمة الاقتصادية المضافة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'P&amp;L'!$C$30:$E$30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'P&amp;L'!$C$34:$E$34</c:f>
              <c:numCache>
                <c:formatCode>_-* #,##0_-;\-* #,##0_-;_-* "-"??_-;_-@_-</c:formatCode>
                <c:ptCount val="3"/>
                <c:pt idx="0">
                  <c:v>278005.10456643626</c:v>
                </c:pt>
                <c:pt idx="1">
                  <c:v>261180.04018733336</c:v>
                </c:pt>
                <c:pt idx="2">
                  <c:v>274203.94621543516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CB-4FEF-8D79-EBC90B3C8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1377888"/>
        <c:axId val="1685924944"/>
      </c:lineChart>
      <c:catAx>
        <c:axId val="17613778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85924944"/>
        <c:crosses val="autoZero"/>
        <c:auto val="1"/>
        <c:lblAlgn val="ctr"/>
        <c:lblOffset val="100"/>
        <c:noMultiLvlLbl val="0"/>
      </c:catAx>
      <c:valAx>
        <c:axId val="1685924944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crossAx val="176137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ar-EG" sz="1600" b="1" u="none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نقطة التعادل لرأس المال</a:t>
            </a:r>
            <a:endParaRPr lang="en-US" sz="1600" b="1" u="non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6725885417689375"/>
          <c:y val="3.91494734044320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spPr>
            <a:solidFill>
              <a:schemeClr val="tx2"/>
            </a:soli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numFmt formatCode="#,##0;[Red]\(#,##0\);0" sourceLinked="0"/>
            <c:spPr>
              <a:solidFill>
                <a:srgbClr val="00206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'D.C.F'!$B$29:$B$31</c:f>
              <c:strCache>
                <c:ptCount val="3"/>
                <c:pt idx="0">
                  <c:v> year 1 </c:v>
                </c:pt>
                <c:pt idx="1">
                  <c:v> year 2 </c:v>
                </c:pt>
                <c:pt idx="2">
                  <c:v> year 3 </c:v>
                </c:pt>
              </c:strCache>
            </c:strRef>
          </c:cat>
          <c:val>
            <c:numRef>
              <c:f>'D.C.F'!$C$29:$C$31</c:f>
              <c:numCache>
                <c:formatCode>_(* #,##0_);_(* \(#,##0\);_(* "-"??_);_(@_)</c:formatCode>
                <c:ptCount val="3"/>
                <c:pt idx="0">
                  <c:v>-2170200</c:v>
                </c:pt>
                <c:pt idx="1">
                  <c:v>-2170200</c:v>
                </c:pt>
                <c:pt idx="2">
                  <c:v>-2170200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02-4069-B8B9-D26DE1E6B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6461456"/>
        <c:axId val="456457136"/>
      </c:areaChart>
      <c:areaChart>
        <c:grouping val="stacked"/>
        <c:varyColors val="0"/>
        <c:ser>
          <c:idx val="1"/>
          <c:order val="1"/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dLbl>
              <c:idx val="0"/>
              <c:numFmt formatCode="#,##0;[Red]\(#,##0\);0" sourceLinked="0"/>
              <c:spPr>
                <a:solidFill>
                  <a:srgbClr val="00206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7B02-4069-B8B9-D26DE1E6BB5E}"/>
                </c:ext>
              </c:extLst>
            </c:dLbl>
            <c:numFmt formatCode="#,##0;[Red]\(#,##0\);0" sourceLinked="0"/>
            <c:spPr>
              <a:solidFill>
                <a:srgbClr val="00206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accent3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'D.C.F'!$B$29:$B$31</c:f>
              <c:strCache>
                <c:ptCount val="3"/>
                <c:pt idx="0">
                  <c:v> year 1 </c:v>
                </c:pt>
                <c:pt idx="1">
                  <c:v> year 2 </c:v>
                </c:pt>
                <c:pt idx="2">
                  <c:v> year 3 </c:v>
                </c:pt>
              </c:strCache>
            </c:strRef>
          </c:cat>
          <c:val>
            <c:numRef>
              <c:f>'D.C.F'!$D$29:$D$31</c:f>
              <c:numCache>
                <c:formatCode>_(* #,##0_);_(* \(#,##0\);_(* "-"??_);_(@_)</c:formatCode>
                <c:ptCount val="3"/>
                <c:pt idx="0">
                  <c:v>-972928.74763085321</c:v>
                </c:pt>
                <c:pt idx="1">
                  <c:v>-139887.35724015848</c:v>
                </c:pt>
                <c:pt idx="2">
                  <c:v>539857.92941329023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02-4069-B8B9-D26DE1E6B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3515839"/>
        <c:axId val="605543311"/>
      </c:areaChart>
      <c:catAx>
        <c:axId val="45646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75" cap="flat" cmpd="sng" algn="ctr">
            <a:noFill/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457136"/>
        <c:crosses val="autoZero"/>
        <c:auto val="1"/>
        <c:lblAlgn val="ctr"/>
        <c:lblOffset val="100"/>
        <c:noMultiLvlLbl val="0"/>
      </c:catAx>
      <c:valAx>
        <c:axId val="456457136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prstDash val="sysDot"/>
              <a:round/>
            </a:ln>
            <a:effectLst/>
          </c:spPr>
        </c:majorGridlines>
        <c:numFmt formatCode="_(* #,##0_);_(* \(#,##0\);_(* &quot;-&quot;??_);_(@_)" sourceLinked="1"/>
        <c:majorTickMark val="out"/>
        <c:minorTickMark val="none"/>
        <c:tickLblPos val="nextTo"/>
        <c:crossAx val="456461456"/>
        <c:crosses val="autoZero"/>
        <c:crossBetween val="midCat"/>
      </c:valAx>
      <c:valAx>
        <c:axId val="605543311"/>
        <c:scaling>
          <c:orientation val="minMax"/>
        </c:scaling>
        <c:delete val="1"/>
        <c:axPos val="r"/>
        <c:numFmt formatCode="_(* #,##0_);_(* \(#,##0\);_(* &quot;-&quot;??_);_(@_)" sourceLinked="1"/>
        <c:majorTickMark val="out"/>
        <c:minorTickMark val="none"/>
        <c:tickLblPos val="nextTo"/>
        <c:crossAx val="913515839"/>
        <c:crosses val="max"/>
        <c:crossBetween val="midCat"/>
      </c:valAx>
      <c:catAx>
        <c:axId val="9135158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05543311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plotVisOnly val="1"/>
    <c:dispBlanksAs val="zero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ar-EG" sz="1600" b="1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نقطة التعادل</a:t>
            </a:r>
            <a:r>
              <a:rPr lang="ar-EG" sz="1600" b="1" baseline="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تكاليف</a:t>
            </a:r>
            <a:endParaRPr lang="en-US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48189099795127488"/>
          <c:y val="2.6904408287214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'B.E.P'!$B$67</c:f>
              <c:strCache>
                <c:ptCount val="1"/>
                <c:pt idx="0">
                  <c:v>عدد العماله</c:v>
                </c:pt>
              </c:strCache>
            </c:strRef>
          </c:tx>
          <c:spPr>
            <a:ln w="19050" cap="rnd" cmpd="sng" algn="ctr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noFill/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'B.E.P'!$B$68:$B$73</c:f>
              <c:numCache>
                <c:formatCode>General</c:formatCode>
                <c:ptCount val="6"/>
                <c:pt idx="0">
                  <c:v>0</c:v>
                </c:pt>
                <c:pt idx="1">
                  <c:v>11</c:v>
                </c:pt>
                <c:pt idx="2">
                  <c:v>21</c:v>
                </c:pt>
                <c:pt idx="3" formatCode="0">
                  <c:v>26.96723746655066</c:v>
                </c:pt>
                <c:pt idx="4" formatCode="#,##0">
                  <c:v>42</c:v>
                </c:pt>
                <c:pt idx="5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8F-4907-A0C8-CCF48630316C}"/>
            </c:ext>
          </c:extLst>
        </c:ser>
        <c:ser>
          <c:idx val="1"/>
          <c:order val="1"/>
          <c:tx>
            <c:strRef>
              <c:f>'B.E.P'!$C$67</c:f>
              <c:strCache>
                <c:ptCount val="1"/>
                <c:pt idx="0">
                  <c:v>التكلفة الثابتة</c:v>
                </c:pt>
              </c:strCache>
            </c:strRef>
          </c:tx>
          <c:spPr>
            <a:ln w="19050" cap="rnd" cmpd="sng" algn="ctr">
              <a:solidFill>
                <a:schemeClr val="accent2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noFill/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'B.E.P'!$C$68:$C$73</c:f>
              <c:numCache>
                <c:formatCode>_-* #,##0_-;\-* #,##0_-;_-* "-"??_-;_-@_-</c:formatCode>
                <c:ptCount val="6"/>
                <c:pt idx="0">
                  <c:v>266769.9434412017</c:v>
                </c:pt>
                <c:pt idx="1">
                  <c:v>266769.9434412017</c:v>
                </c:pt>
                <c:pt idx="2">
                  <c:v>266769.9434412017</c:v>
                </c:pt>
                <c:pt idx="3">
                  <c:v>266769.9434412017</c:v>
                </c:pt>
                <c:pt idx="4">
                  <c:v>266769.9434412017</c:v>
                </c:pt>
                <c:pt idx="5">
                  <c:v>266769.9434412017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8F-4907-A0C8-CCF48630316C}"/>
            </c:ext>
          </c:extLst>
        </c:ser>
        <c:ser>
          <c:idx val="2"/>
          <c:order val="2"/>
          <c:tx>
            <c:strRef>
              <c:f>'B.E.P'!$D$67</c:f>
              <c:strCache>
                <c:ptCount val="1"/>
                <c:pt idx="0">
                  <c:v>اجمالي التكلفة</c:v>
                </c:pt>
              </c:strCache>
            </c:strRef>
          </c:tx>
          <c:spPr>
            <a:ln w="19050" cap="rnd" cmpd="sng" algn="ctr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noFill/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>
                        <a:lumMod val="40000"/>
                        <a:lumOff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'B.E.P'!$D$68:$D$73</c:f>
              <c:numCache>
                <c:formatCode>_-* #,##0_-;\-* #,##0_-;_-* "-"??_-;_-@_-</c:formatCode>
                <c:ptCount val="6"/>
                <c:pt idx="0">
                  <c:v>266769.9434412017</c:v>
                </c:pt>
                <c:pt idx="1">
                  <c:v>401775.06212280999</c:v>
                </c:pt>
                <c:pt idx="2">
                  <c:v>524506.9881969993</c:v>
                </c:pt>
                <c:pt idx="3">
                  <c:v>597744.04295818228</c:v>
                </c:pt>
                <c:pt idx="4">
                  <c:v>782244.03295279702</c:v>
                </c:pt>
                <c:pt idx="5">
                  <c:v>892702.7664195674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8F-4907-A0C8-CCF48630316C}"/>
            </c:ext>
          </c:extLst>
        </c:ser>
        <c:ser>
          <c:idx val="4"/>
          <c:order val="4"/>
          <c:tx>
            <c:strRef>
              <c:f>'B.E.P'!$F$67</c:f>
              <c:strCache>
                <c:ptCount val="1"/>
                <c:pt idx="0">
                  <c:v>اجمالي الايردات</c:v>
                </c:pt>
              </c:strCache>
            </c:strRef>
          </c:tx>
          <c:spPr>
            <a:ln w="19050" cap="rnd" cmpd="sng" algn="ctr">
              <a:solidFill>
                <a:schemeClr val="accent5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noFill/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'B.E.P'!$F$68:$F$73</c:f>
              <c:numCache>
                <c:formatCode>_-* #,##0_-;\-* #,##0_-;_-* "-"??_-;_-@_-</c:formatCode>
                <c:ptCount val="6"/>
                <c:pt idx="0">
                  <c:v>0</c:v>
                </c:pt>
                <c:pt idx="1">
                  <c:v>243571.42857142855</c:v>
                </c:pt>
                <c:pt idx="2">
                  <c:v>464999.99999999994</c:v>
                </c:pt>
                <c:pt idx="3">
                  <c:v>597131.68675933604</c:v>
                </c:pt>
                <c:pt idx="4">
                  <c:v>929999.99999999988</c:v>
                </c:pt>
                <c:pt idx="5">
                  <c:v>1129285.7142857143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98F-4907-A0C8-CCF48630316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19208160"/>
        <c:axId val="1524430064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'B.E.P'!$E$67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9050" cap="rnd" cmpd="sng" algn="ctr">
                    <a:solidFill>
                      <a:schemeClr val="accent4">
                        <a:shade val="95000"/>
                        <a:satMod val="105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accent4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'B.E.P'!$E$68:$E$73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6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B98F-4907-A0C8-CCF48630316C}"/>
                  </c:ext>
                </c:extLst>
              </c15:ser>
            </c15:filteredLineSeries>
          </c:ext>
        </c:extLst>
      </c:lineChart>
      <c:catAx>
        <c:axId val="15192081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24430064"/>
        <c:crosses val="autoZero"/>
        <c:auto val="1"/>
        <c:lblAlgn val="ctr"/>
        <c:lblOffset val="100"/>
        <c:noMultiLvlLbl val="0"/>
      </c:catAx>
      <c:valAx>
        <c:axId val="15244300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19208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O.H1!$D$47</c:f>
              <c:strCache>
                <c:ptCount val="1"/>
                <c:pt idx="0">
                  <c:v>عدد ساعات العمل 
في الشهر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O.H1!$C$48:$C$70</c:f>
              <c:numCache>
                <c:formatCode>#,##0</c:formatCode>
                <c:ptCount val="23"/>
                <c:pt idx="0">
                  <c:v>728200.00000000012</c:v>
                </c:pt>
                <c:pt idx="1">
                  <c:v>63800.000000000007</c:v>
                </c:pt>
                <c:pt idx="2">
                  <c:v>155100</c:v>
                </c:pt>
                <c:pt idx="3">
                  <c:v>573100</c:v>
                </c:pt>
                <c:pt idx="4">
                  <c:v>630300</c:v>
                </c:pt>
                <c:pt idx="5">
                  <c:v>573319</c:v>
                </c:pt>
                <c:pt idx="6">
                  <c:v>457209</c:v>
                </c:pt>
                <c:pt idx="7">
                  <c:v>462054</c:v>
                </c:pt>
                <c:pt idx="8">
                  <c:v>462054</c:v>
                </c:pt>
                <c:pt idx="9">
                  <c:v>563200</c:v>
                </c:pt>
                <c:pt idx="10">
                  <c:v>490600.00000000006</c:v>
                </c:pt>
                <c:pt idx="11">
                  <c:v>437800.00000000006</c:v>
                </c:pt>
                <c:pt idx="12">
                  <c:v>0</c:v>
                </c:pt>
                <c:pt idx="13">
                  <c:v>209000.00000000003</c:v>
                </c:pt>
                <c:pt idx="14">
                  <c:v>0</c:v>
                </c:pt>
                <c:pt idx="15">
                  <c:v>209000.00000000003</c:v>
                </c:pt>
                <c:pt idx="16">
                  <c:v>157300</c:v>
                </c:pt>
                <c:pt idx="17">
                  <c:v>145200</c:v>
                </c:pt>
                <c:pt idx="18">
                  <c:v>2307500</c:v>
                </c:pt>
                <c:pt idx="19">
                  <c:v>170975</c:v>
                </c:pt>
                <c:pt idx="20">
                  <c:v>547800</c:v>
                </c:pt>
                <c:pt idx="21">
                  <c:v>547800</c:v>
                </c:pt>
                <c:pt idx="22">
                  <c:v>82975</c:v>
                </c:pt>
              </c:numCache>
            </c:numRef>
          </c:xVal>
          <c:yVal>
            <c:numRef>
              <c:f>O.H1!$D$48:$D$70</c:f>
              <c:numCache>
                <c:formatCode>#,##0</c:formatCode>
                <c:ptCount val="23"/>
                <c:pt idx="0">
                  <c:v>11280</c:v>
                </c:pt>
                <c:pt idx="1">
                  <c:v>1800</c:v>
                </c:pt>
                <c:pt idx="2">
                  <c:v>3600</c:v>
                </c:pt>
                <c:pt idx="3">
                  <c:v>8400</c:v>
                </c:pt>
                <c:pt idx="4">
                  <c:v>8400</c:v>
                </c:pt>
                <c:pt idx="5">
                  <c:v>12000</c:v>
                </c:pt>
                <c:pt idx="6">
                  <c:v>9600</c:v>
                </c:pt>
                <c:pt idx="7">
                  <c:v>11280</c:v>
                </c:pt>
                <c:pt idx="8">
                  <c:v>11280</c:v>
                </c:pt>
                <c:pt idx="9">
                  <c:v>8400</c:v>
                </c:pt>
                <c:pt idx="10">
                  <c:v>8400</c:v>
                </c:pt>
                <c:pt idx="11">
                  <c:v>7200</c:v>
                </c:pt>
                <c:pt idx="12">
                  <c:v>0</c:v>
                </c:pt>
                <c:pt idx="13">
                  <c:v>5040</c:v>
                </c:pt>
                <c:pt idx="14">
                  <c:v>0</c:v>
                </c:pt>
                <c:pt idx="15">
                  <c:v>5040</c:v>
                </c:pt>
                <c:pt idx="16">
                  <c:v>2400</c:v>
                </c:pt>
                <c:pt idx="17">
                  <c:v>2400</c:v>
                </c:pt>
                <c:pt idx="18">
                  <c:v>30000</c:v>
                </c:pt>
                <c:pt idx="19">
                  <c:v>4368</c:v>
                </c:pt>
                <c:pt idx="20">
                  <c:v>8400</c:v>
                </c:pt>
                <c:pt idx="21">
                  <c:v>8400</c:v>
                </c:pt>
                <c:pt idx="22">
                  <c:v>2080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67-4886-BBBA-C0A11E618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3713968"/>
        <c:axId val="753649344"/>
      </c:scatterChart>
      <c:valAx>
        <c:axId val="763713968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649344"/>
        <c:crosses val="autoZero"/>
        <c:crossBetween val="midCat"/>
      </c:valAx>
      <c:valAx>
        <c:axId val="75364934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713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'P&amp;L'!$B$31</c:f>
              <c:strCache>
                <c:ptCount val="1"/>
                <c:pt idx="0">
                  <c:v>أجمالي الدخل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'P&amp;L'!$C$30:$E$30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'P&amp;L'!$C$31:$E$31</c:f>
              <c:numCache>
                <c:formatCode>_(* #,##0_);_(* \(#,##0\);_(* "-"??_);_(@_)</c:formatCode>
                <c:ptCount val="3"/>
                <c:pt idx="0">
                  <c:v>11160000</c:v>
                </c:pt>
                <c:pt idx="1">
                  <c:v>12276000.000000002</c:v>
                </c:pt>
                <c:pt idx="2">
                  <c:v>13503600.000000004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69-4F1E-8B6B-B0C540F726C4}"/>
            </c:ext>
          </c:extLst>
        </c:ser>
        <c:ser>
          <c:idx val="1"/>
          <c:order val="1"/>
          <c:tx>
            <c:strRef>
              <c:f>'P&amp;L'!$B$32</c:f>
              <c:strCache>
                <c:ptCount val="1"/>
                <c:pt idx="0">
                  <c:v>أجمالي المصاريف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'P&amp;L'!$C$30:$E$30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'P&amp;L'!$C$32:$E$32</c:f>
              <c:numCache>
                <c:formatCode>_(* #,##0_);_(* \(#,##0\);_(* "-"??_);_(@_)</c:formatCode>
                <c:ptCount val="3"/>
                <c:pt idx="0">
                  <c:v>9889128.3954335637</c:v>
                </c:pt>
                <c:pt idx="1">
                  <c:v>11238877.654748598</c:v>
                </c:pt>
                <c:pt idx="2">
                  <c:v>12788578.302960888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69-4F1E-8B6B-B0C540F726C4}"/>
            </c:ext>
          </c:extLst>
        </c:ser>
        <c:ser>
          <c:idx val="2"/>
          <c:order val="2"/>
          <c:tx>
            <c:strRef>
              <c:f>'P&amp;L'!$B$33</c:f>
              <c:strCache>
                <c:ptCount val="1"/>
                <c:pt idx="0">
                  <c:v>صافي الدخل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'P&amp;L'!$C$30:$E$30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'P&amp;L'!$C$33:$E$33</c:f>
              <c:numCache>
                <c:formatCode>_(* #,##0_);_(* \(#,##0\);_(* "-"??_);_(@_)</c:formatCode>
                <c:ptCount val="3"/>
                <c:pt idx="0">
                  <c:v>1270871.6045664363</c:v>
                </c:pt>
                <c:pt idx="1">
                  <c:v>1037122.3452514037</c:v>
                </c:pt>
                <c:pt idx="2">
                  <c:v>715021.69703911617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69-4F1E-8B6B-B0C540F726C4}"/>
            </c:ext>
          </c:extLst>
        </c:ser>
        <c:ser>
          <c:idx val="3"/>
          <c:order val="3"/>
          <c:tx>
            <c:strRef>
              <c:f>'P&amp;L'!$B$34</c:f>
              <c:strCache>
                <c:ptCount val="1"/>
                <c:pt idx="0">
                  <c:v>القيمة الاقتصادية المضافة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'P&amp;L'!$C$30:$E$30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'P&amp;L'!$C$34:$E$34</c:f>
              <c:numCache>
                <c:formatCode>_-* #,##0_-;\-* #,##0_-;_-* "-"??_-;_-@_-</c:formatCode>
                <c:ptCount val="3"/>
                <c:pt idx="0">
                  <c:v>278005.10456643626</c:v>
                </c:pt>
                <c:pt idx="1">
                  <c:v>261180.04018733336</c:v>
                </c:pt>
                <c:pt idx="2">
                  <c:v>274203.94621543516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69-4F1E-8B6B-B0C540F72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1377888"/>
        <c:axId val="1685924944"/>
      </c:lineChart>
      <c:catAx>
        <c:axId val="17613778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85924944"/>
        <c:crosses val="autoZero"/>
        <c:auto val="1"/>
        <c:lblAlgn val="ctr"/>
        <c:lblOffset val="100"/>
        <c:noMultiLvlLbl val="0"/>
      </c:catAx>
      <c:valAx>
        <c:axId val="1685924944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crossAx val="176137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sng" strike="noStrike" kern="1200" baseline="0">
                <a:solidFill>
                  <a:schemeClr val="lt1">
                    <a:lumMod val="8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ar-EG" u="sng">
                <a:solidFill>
                  <a:srgbClr val="002060"/>
                </a:solidFill>
                <a:latin typeface="Arial Rounded MT Bold" panose="020F0704030504030204" pitchFamily="34" charset="0"/>
              </a:rPr>
              <a:t>نقطة التعادل لرأس المال</a:t>
            </a:r>
            <a:endParaRPr lang="en-US" u="sng">
              <a:solidFill>
                <a:srgbClr val="002060"/>
              </a:solidFill>
              <a:latin typeface="Arial Rounded MT Bold" panose="020F07040305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sng" strike="noStrike" kern="1200" baseline="0">
              <a:solidFill>
                <a:schemeClr val="lt1">
                  <a:lumMod val="8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numFmt formatCode="#,##0.00;[Red]\(#,##0.00\);0.00" sourceLinked="0"/>
            <c:spPr>
              <a:solidFill>
                <a:srgbClr val="00206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'D.C.F'!$B$29:$B$31</c:f>
              <c:strCache>
                <c:ptCount val="3"/>
                <c:pt idx="0">
                  <c:v> year 1 </c:v>
                </c:pt>
                <c:pt idx="1">
                  <c:v> year 2 </c:v>
                </c:pt>
                <c:pt idx="2">
                  <c:v> year 3 </c:v>
                </c:pt>
              </c:strCache>
            </c:strRef>
          </c:cat>
          <c:val>
            <c:numRef>
              <c:f>'D.C.F'!$C$29:$C$31</c:f>
              <c:numCache>
                <c:formatCode>_(* #,##0_);_(* \(#,##0\);_(* "-"??_);_(@_)</c:formatCode>
                <c:ptCount val="3"/>
                <c:pt idx="0">
                  <c:v>-2170200</c:v>
                </c:pt>
                <c:pt idx="1">
                  <c:v>-2170200</c:v>
                </c:pt>
                <c:pt idx="2">
                  <c:v>-2170200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D-473E-896A-FEF85CFA9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6461456"/>
        <c:axId val="456457136"/>
      </c:areaChart>
      <c:areaChart>
        <c:grouping val="stacked"/>
        <c:varyColors val="0"/>
        <c:ser>
          <c:idx val="1"/>
          <c:order val="1"/>
          <c:spPr>
            <a:solidFill>
              <a:schemeClr val="accent5">
                <a:lumMod val="75000"/>
              </a:schemeClr>
            </a:soli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dLbl>
              <c:idx val="0"/>
              <c:numFmt formatCode="#,##0.00;[Red]\(#,##0.00\);0.00" sourceLinked="0"/>
              <c:spPr>
                <a:solidFill>
                  <a:srgbClr val="00206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6317-4845-8C16-4C8BA2954D46}"/>
                </c:ext>
              </c:extLst>
            </c:dLbl>
            <c:numFmt formatCode="#,##0.00;[Red]\(#,##0.00\);0.00" sourceLinked="0"/>
            <c:spPr>
              <a:solidFill>
                <a:srgbClr val="00206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accent3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'D.C.F'!$B$29:$B$31</c:f>
              <c:strCache>
                <c:ptCount val="3"/>
                <c:pt idx="0">
                  <c:v> year 1 </c:v>
                </c:pt>
                <c:pt idx="1">
                  <c:v> year 2 </c:v>
                </c:pt>
                <c:pt idx="2">
                  <c:v> year 3 </c:v>
                </c:pt>
              </c:strCache>
            </c:strRef>
          </c:cat>
          <c:val>
            <c:numRef>
              <c:f>'D.C.F'!$D$29:$D$31</c:f>
              <c:numCache>
                <c:formatCode>_(* #,##0_);_(* \(#,##0\);_(* "-"??_);_(@_)</c:formatCode>
                <c:ptCount val="3"/>
                <c:pt idx="0">
                  <c:v>-972928.74763085321</c:v>
                </c:pt>
                <c:pt idx="1">
                  <c:v>-139887.35724015848</c:v>
                </c:pt>
                <c:pt idx="2">
                  <c:v>539857.92941329023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8D-473E-896A-FEF85CFA9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3515839"/>
        <c:axId val="605543311"/>
      </c:areaChart>
      <c:catAx>
        <c:axId val="45646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75" cap="flat" cmpd="sng" algn="ctr">
            <a:noFill/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457136"/>
        <c:crosses val="autoZero"/>
        <c:auto val="1"/>
        <c:lblAlgn val="ctr"/>
        <c:lblOffset val="100"/>
        <c:noMultiLvlLbl val="0"/>
      </c:catAx>
      <c:valAx>
        <c:axId val="456457136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prstDash val="sysDot"/>
              <a:round/>
            </a:ln>
            <a:effectLst/>
          </c:spPr>
        </c:majorGridlines>
        <c:numFmt formatCode="_(* #,##0_);_(* \(#,##0\);_(* &quot;-&quot;??_);_(@_)" sourceLinked="1"/>
        <c:majorTickMark val="out"/>
        <c:minorTickMark val="none"/>
        <c:tickLblPos val="nextTo"/>
        <c:crossAx val="456461456"/>
        <c:crosses val="autoZero"/>
        <c:crossBetween val="midCat"/>
      </c:valAx>
      <c:valAx>
        <c:axId val="605543311"/>
        <c:scaling>
          <c:orientation val="minMax"/>
        </c:scaling>
        <c:delete val="1"/>
        <c:axPos val="r"/>
        <c:numFmt formatCode="_(* #,##0_);_(* \(#,##0\);_(* &quot;-&quot;??_);_(@_)" sourceLinked="1"/>
        <c:majorTickMark val="out"/>
        <c:minorTickMark val="none"/>
        <c:tickLblPos val="nextTo"/>
        <c:crossAx val="913515839"/>
        <c:crosses val="max"/>
        <c:crossBetween val="midCat"/>
      </c:valAx>
      <c:catAx>
        <c:axId val="9135158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05543311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plotVisOnly val="1"/>
    <c:dispBlanksAs val="zero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NPV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;[Red]\(#,##0.00\);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M.C!$K$28:$K$29</c:f>
              <c:strCache>
                <c:ptCount val="2"/>
                <c:pt idx="0">
                  <c:v> MAX </c:v>
                </c:pt>
                <c:pt idx="1">
                  <c:v> MIN </c:v>
                </c:pt>
              </c:strCache>
            </c:strRef>
          </c:cat>
          <c:val>
            <c:numRef>
              <c:f>M.C!$L$28:$L$29</c:f>
              <c:numCache>
                <c:formatCode>_(* #,##0_);_(* \(#,##0\);_(* "-"??_);_(@_)</c:formatCode>
                <c:ptCount val="2"/>
                <c:pt idx="0">
                  <c:v>1605430.4151688851</c:v>
                </c:pt>
                <c:pt idx="1">
                  <c:v>-255302.6923769468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05-4377-9818-1FB3C412F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1270048"/>
        <c:axId val="1919405904"/>
      </c:barChart>
      <c:catAx>
        <c:axId val="1931270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405904"/>
        <c:crosses val="autoZero"/>
        <c:auto val="1"/>
        <c:lblAlgn val="ctr"/>
        <c:lblOffset val="100"/>
        <c:noMultiLvlLbl val="0"/>
      </c:catAx>
      <c:valAx>
        <c:axId val="1919405904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crossAx val="1931270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US" sz="2400" b="1"/>
              <a:t>IRR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0"/>
          <c:tx>
            <c:strRef>
              <c:f>M.C!$M$25</c:f>
              <c:strCache>
                <c:ptCount val="1"/>
                <c:pt idx="0">
                  <c:v> IRR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1AB-439D-B70D-682BD1C0A83C}"/>
              </c:ext>
            </c:extLst>
          </c:dPt>
          <c:dLbls>
            <c:dLbl>
              <c:idx val="0"/>
              <c:layout>
                <c:manualLayout>
                  <c:x val="1.7351268591426071E-3"/>
                  <c:y val="-0.3572601341498979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8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1AB-439D-B70D-682BD1C0A8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M.C!$K$26:$K$29</c15:sqref>
                  </c15:fullRef>
                </c:ext>
              </c:extLst>
              <c:f>M.C!$K$26</c:f>
              <c:strCache>
                <c:ptCount val="1"/>
                <c:pt idx="0">
                  <c:v> MEAN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M.C!$M$26:$M$29</c15:sqref>
                  </c15:fullRef>
                </c:ext>
              </c:extLst>
              <c:f>M.C!$M$26</c:f>
              <c:numCache>
                <c:formatCode>0%</c:formatCode>
                <c:ptCount val="1"/>
                <c:pt idx="0">
                  <c:v>0.68015470445528692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1-11AB-439D-B70D-682BD1C0A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ar-EG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نقطة التعادل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'B.E.P'!$B$67</c:f>
              <c:strCache>
                <c:ptCount val="1"/>
                <c:pt idx="0">
                  <c:v>عدد العماله</c:v>
                </c:pt>
              </c:strCache>
            </c:strRef>
          </c:tx>
          <c:spPr>
            <a:ln w="19050" cap="rnd" cmpd="sng" algn="ctr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'B.E.P'!$B$68:$B$73</c:f>
              <c:numCache>
                <c:formatCode>General</c:formatCode>
                <c:ptCount val="6"/>
                <c:pt idx="0">
                  <c:v>0</c:v>
                </c:pt>
                <c:pt idx="1">
                  <c:v>11</c:v>
                </c:pt>
                <c:pt idx="2">
                  <c:v>21</c:v>
                </c:pt>
                <c:pt idx="3" formatCode="0">
                  <c:v>26.96723746655066</c:v>
                </c:pt>
                <c:pt idx="4" formatCode="#,##0">
                  <c:v>42</c:v>
                </c:pt>
                <c:pt idx="5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24-4807-BF7F-69BA3064B19F}"/>
            </c:ext>
          </c:extLst>
        </c:ser>
        <c:ser>
          <c:idx val="1"/>
          <c:order val="1"/>
          <c:tx>
            <c:strRef>
              <c:f>'B.E.P'!$C$67</c:f>
              <c:strCache>
                <c:ptCount val="1"/>
                <c:pt idx="0">
                  <c:v>التكلفة الثابتة</c:v>
                </c:pt>
              </c:strCache>
            </c:strRef>
          </c:tx>
          <c:spPr>
            <a:ln w="19050" cap="rnd" cmpd="sng" algn="ctr">
              <a:solidFill>
                <a:schemeClr val="accent2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'B.E.P'!$C$68:$C$73</c:f>
              <c:numCache>
                <c:formatCode>_-* #,##0_-;\-* #,##0_-;_-* "-"??_-;_-@_-</c:formatCode>
                <c:ptCount val="6"/>
                <c:pt idx="0">
                  <c:v>266769.9434412017</c:v>
                </c:pt>
                <c:pt idx="1">
                  <c:v>266769.9434412017</c:v>
                </c:pt>
                <c:pt idx="2">
                  <c:v>266769.9434412017</c:v>
                </c:pt>
                <c:pt idx="3">
                  <c:v>266769.9434412017</c:v>
                </c:pt>
                <c:pt idx="4">
                  <c:v>266769.9434412017</c:v>
                </c:pt>
                <c:pt idx="5">
                  <c:v>266769.9434412017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24-4807-BF7F-69BA3064B19F}"/>
            </c:ext>
          </c:extLst>
        </c:ser>
        <c:ser>
          <c:idx val="2"/>
          <c:order val="2"/>
          <c:tx>
            <c:strRef>
              <c:f>'B.E.P'!$D$67</c:f>
              <c:strCache>
                <c:ptCount val="1"/>
                <c:pt idx="0">
                  <c:v>اجمالي التكلفة</c:v>
                </c:pt>
              </c:strCache>
            </c:strRef>
          </c:tx>
          <c:spPr>
            <a:ln w="19050" cap="rnd" cmpd="sng" algn="ctr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noFill/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'B.E.P'!$D$68:$D$73</c:f>
              <c:numCache>
                <c:formatCode>_-* #,##0_-;\-* #,##0_-;_-* "-"??_-;_-@_-</c:formatCode>
                <c:ptCount val="6"/>
                <c:pt idx="0">
                  <c:v>266769.9434412017</c:v>
                </c:pt>
                <c:pt idx="1">
                  <c:v>401775.06212280999</c:v>
                </c:pt>
                <c:pt idx="2">
                  <c:v>524506.9881969993</c:v>
                </c:pt>
                <c:pt idx="3">
                  <c:v>597744.04295818228</c:v>
                </c:pt>
                <c:pt idx="4">
                  <c:v>782244.03295279702</c:v>
                </c:pt>
                <c:pt idx="5">
                  <c:v>892702.7664195674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24-4807-BF7F-69BA3064B19F}"/>
            </c:ext>
          </c:extLst>
        </c:ser>
        <c:ser>
          <c:idx val="4"/>
          <c:order val="4"/>
          <c:tx>
            <c:strRef>
              <c:f>'B.E.P'!$F$67</c:f>
              <c:strCache>
                <c:ptCount val="1"/>
                <c:pt idx="0">
                  <c:v>اجمالي الايردات</c:v>
                </c:pt>
              </c:strCache>
            </c:strRef>
          </c:tx>
          <c:spPr>
            <a:ln w="19050" cap="rnd" cmpd="sng" algn="ctr">
              <a:solidFill>
                <a:schemeClr val="accent5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noFill/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'B.E.P'!$F$68:$F$73</c:f>
              <c:numCache>
                <c:formatCode>_-* #,##0_-;\-* #,##0_-;_-* "-"??_-;_-@_-</c:formatCode>
                <c:ptCount val="6"/>
                <c:pt idx="0">
                  <c:v>0</c:v>
                </c:pt>
                <c:pt idx="1">
                  <c:v>243571.42857142855</c:v>
                </c:pt>
                <c:pt idx="2">
                  <c:v>464999.99999999994</c:v>
                </c:pt>
                <c:pt idx="3">
                  <c:v>597131.68675933604</c:v>
                </c:pt>
                <c:pt idx="4">
                  <c:v>929999.99999999988</c:v>
                </c:pt>
                <c:pt idx="5">
                  <c:v>1129285.7142857143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24-4807-BF7F-69BA3064B19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19208160"/>
        <c:axId val="1524430064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'B.E.P'!$E$67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9050" cap="rnd" cmpd="sng" algn="ctr">
                    <a:solidFill>
                      <a:schemeClr val="accent4">
                        <a:shade val="95000"/>
                        <a:satMod val="105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accent4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'B.E.P'!$E$68:$E$73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6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6824-4807-BF7F-69BA3064B19F}"/>
                  </c:ext>
                </c:extLst>
              </c15:ser>
            </c15:filteredLineSeries>
          </c:ext>
        </c:extLst>
      </c:lineChart>
      <c:catAx>
        <c:axId val="15192081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24430064"/>
        <c:crosses val="autoZero"/>
        <c:auto val="1"/>
        <c:lblAlgn val="ctr"/>
        <c:lblOffset val="100"/>
        <c:noMultiLvlLbl val="0"/>
      </c:catAx>
      <c:valAx>
        <c:axId val="15244300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19208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plotArea>
      <cx:plotAreaRegion>
        <cx:series layoutId="boxWhisker" uniqueId="{778BDA05-146D-4A3E-AE00-CC1E0F5E6248}">
          <cx:dataLabels/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>
          <cx:spPr>
            <a:ln>
              <a:noFill/>
            </a:ln>
          </cx:spPr>
        </cx:majorGridlines>
        <cx:tickLabels/>
      </cx:axis>
    </cx:plotArea>
  </cx:chart>
  <cx:spPr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clusteredColumn" uniqueId="{D96CA9E2-42BC-4FEC-A46C-F4EABBBECD34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 hidden="1">
        <cx:valScaling/>
        <cx:majorGridlines>
          <cx:spPr>
            <a:ln>
              <a:noFill/>
            </a:ln>
          </cx:spPr>
        </cx:majorGridlines>
        <cx:tickLabels/>
      </cx:axis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13" Type="http://schemas.openxmlformats.org/officeDocument/2006/relationships/chart" Target="../charts/chart11.xml"/><Relationship Id="rId18" Type="http://schemas.openxmlformats.org/officeDocument/2006/relationships/chart" Target="../charts/chart16.xml"/><Relationship Id="rId3" Type="http://schemas.openxmlformats.org/officeDocument/2006/relationships/chart" Target="../charts/chart1.xml"/><Relationship Id="rId21" Type="http://schemas.openxmlformats.org/officeDocument/2006/relationships/chart" Target="../charts/chart19.xml"/><Relationship Id="rId7" Type="http://schemas.openxmlformats.org/officeDocument/2006/relationships/chart" Target="../charts/chart5.xml"/><Relationship Id="rId12" Type="http://schemas.openxmlformats.org/officeDocument/2006/relationships/chart" Target="../charts/chart10.xml"/><Relationship Id="rId17" Type="http://schemas.openxmlformats.org/officeDocument/2006/relationships/chart" Target="../charts/chart15.xml"/><Relationship Id="rId2" Type="http://schemas.openxmlformats.org/officeDocument/2006/relationships/image" Target="../media/image2.svg"/><Relationship Id="rId16" Type="http://schemas.openxmlformats.org/officeDocument/2006/relationships/chart" Target="../charts/chart14.xml"/><Relationship Id="rId20" Type="http://schemas.openxmlformats.org/officeDocument/2006/relationships/chart" Target="../charts/chart18.xml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11" Type="http://schemas.openxmlformats.org/officeDocument/2006/relationships/chart" Target="../charts/chart9.xml"/><Relationship Id="rId24" Type="http://schemas.openxmlformats.org/officeDocument/2006/relationships/chart" Target="../charts/chart22.xml"/><Relationship Id="rId5" Type="http://schemas.openxmlformats.org/officeDocument/2006/relationships/chart" Target="../charts/chart3.xml"/><Relationship Id="rId15" Type="http://schemas.openxmlformats.org/officeDocument/2006/relationships/chart" Target="../charts/chart13.xml"/><Relationship Id="rId23" Type="http://schemas.openxmlformats.org/officeDocument/2006/relationships/chart" Target="../charts/chart21.xml"/><Relationship Id="rId10" Type="http://schemas.openxmlformats.org/officeDocument/2006/relationships/chart" Target="../charts/chart8.xml"/><Relationship Id="rId19" Type="http://schemas.openxmlformats.org/officeDocument/2006/relationships/chart" Target="../charts/chart17.xml"/><Relationship Id="rId4" Type="http://schemas.openxmlformats.org/officeDocument/2006/relationships/chart" Target="../charts/chart2.xml"/><Relationship Id="rId9" Type="http://schemas.openxmlformats.org/officeDocument/2006/relationships/chart" Target="../charts/chart7.xml"/><Relationship Id="rId14" Type="http://schemas.openxmlformats.org/officeDocument/2006/relationships/chart" Target="../charts/chart12.xml"/><Relationship Id="rId22" Type="http://schemas.openxmlformats.org/officeDocument/2006/relationships/chart" Target="../charts/chart20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2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image" Target="../media/image4.sv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image" Target="../media/image4.sv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microsoft.com/office/2014/relationships/chartEx" Target="../charts/chartEx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svg"/><Relationship Id="rId2" Type="http://schemas.openxmlformats.org/officeDocument/2006/relationships/image" Target="../media/image4.sv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396240</xdr:colOff>
      <xdr:row>0</xdr:row>
      <xdr:rowOff>38100</xdr:rowOff>
    </xdr:from>
    <xdr:to>
      <xdr:col>15</xdr:col>
      <xdr:colOff>91440</xdr:colOff>
      <xdr:row>3</xdr:row>
      <xdr:rowOff>121920</xdr:rowOff>
    </xdr:to>
    <xdr:pic>
      <xdr:nvPicPr>
        <xdr:cNvPr id="3" name="Graphic 2" descr="Gauge with solid fill">
          <a:extLst>
            <a:ext uri="{FF2B5EF4-FFF2-40B4-BE49-F238E27FC236}">
              <a16:creationId xmlns:a16="http://schemas.microsoft.com/office/drawing/2014/main" id="{354B2B9B-53CA-87F9-859D-C582330B2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978450960" y="38100"/>
          <a:ext cx="914400" cy="9144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87</xdr:row>
      <xdr:rowOff>60960</xdr:rowOff>
    </xdr:from>
    <xdr:to>
      <xdr:col>8</xdr:col>
      <xdr:colOff>53340</xdr:colOff>
      <xdr:row>102</xdr:row>
      <xdr:rowOff>137160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800352-E71B-4EE7-9F08-179B83B53D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464820</xdr:colOff>
      <xdr:row>86</xdr:row>
      <xdr:rowOff>137160</xdr:rowOff>
    </xdr:from>
    <xdr:to>
      <xdr:col>18</xdr:col>
      <xdr:colOff>320040</xdr:colOff>
      <xdr:row>105</xdr:row>
      <xdr:rowOff>91440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CFB81CD-AF8D-4560-810D-68BA06CF7C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15240</xdr:colOff>
      <xdr:row>106</xdr:row>
      <xdr:rowOff>30480</xdr:rowOff>
    </xdr:from>
    <xdr:to>
      <xdr:col>9</xdr:col>
      <xdr:colOff>601980</xdr:colOff>
      <xdr:row>134</xdr:row>
      <xdr:rowOff>167640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384263B-6353-417C-90A8-F041D6342C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144780</xdr:colOff>
      <xdr:row>105</xdr:row>
      <xdr:rowOff>205740</xdr:rowOff>
    </xdr:from>
    <xdr:to>
      <xdr:col>18</xdr:col>
      <xdr:colOff>480060</xdr:colOff>
      <xdr:row>134</xdr:row>
      <xdr:rowOff>175260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A06B005-B482-476E-8DD0-74CD5D15BE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68580</xdr:colOff>
      <xdr:row>139</xdr:row>
      <xdr:rowOff>53340</xdr:rowOff>
    </xdr:from>
    <xdr:to>
      <xdr:col>8</xdr:col>
      <xdr:colOff>220980</xdr:colOff>
      <xdr:row>186</xdr:row>
      <xdr:rowOff>137160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421E604-A9F0-47DC-8196-344621A49C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76200</xdr:colOff>
      <xdr:row>139</xdr:row>
      <xdr:rowOff>22860</xdr:rowOff>
    </xdr:from>
    <xdr:to>
      <xdr:col>18</xdr:col>
      <xdr:colOff>381000</xdr:colOff>
      <xdr:row>187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BEFFEB9-1CF0-4ECB-BA26-A3E6904279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228600</xdr:colOff>
      <xdr:row>190</xdr:row>
      <xdr:rowOff>182880</xdr:rowOff>
    </xdr:from>
    <xdr:to>
      <xdr:col>12</xdr:col>
      <xdr:colOff>304800</xdr:colOff>
      <xdr:row>215</xdr:row>
      <xdr:rowOff>91440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CEA7580-39DC-4768-BF42-D1FC1C958A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181356</xdr:colOff>
      <xdr:row>238</xdr:row>
      <xdr:rowOff>129540</xdr:rowOff>
    </xdr:from>
    <xdr:to>
      <xdr:col>20</xdr:col>
      <xdr:colOff>480060</xdr:colOff>
      <xdr:row>250</xdr:row>
      <xdr:rowOff>120396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D363B4DB-4763-426B-9A58-44F18FDA90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100584</xdr:colOff>
      <xdr:row>8</xdr:row>
      <xdr:rowOff>0</xdr:rowOff>
    </xdr:from>
    <xdr:to>
      <xdr:col>8</xdr:col>
      <xdr:colOff>77724</xdr:colOff>
      <xdr:row>19</xdr:row>
      <xdr:rowOff>182880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6EC5EBB4-AD74-47CE-BC9F-A4558A98CF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601980</xdr:colOff>
      <xdr:row>8</xdr:row>
      <xdr:rowOff>15240</xdr:rowOff>
    </xdr:from>
    <xdr:to>
      <xdr:col>12</xdr:col>
      <xdr:colOff>291084</xdr:colOff>
      <xdr:row>20</xdr:row>
      <xdr:rowOff>6096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CE160ED-0E3D-4C40-9632-EE60BDB19E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144780</xdr:colOff>
      <xdr:row>8</xdr:row>
      <xdr:rowOff>106680</xdr:rowOff>
    </xdr:from>
    <xdr:to>
      <xdr:col>16</xdr:col>
      <xdr:colOff>443484</xdr:colOff>
      <xdr:row>20</xdr:row>
      <xdr:rowOff>97536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CBB3ACCE-54FD-486C-9923-2BCDE1EFF6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30480</xdr:colOff>
      <xdr:row>8</xdr:row>
      <xdr:rowOff>144780</xdr:rowOff>
    </xdr:from>
    <xdr:to>
      <xdr:col>20</xdr:col>
      <xdr:colOff>329184</xdr:colOff>
      <xdr:row>20</xdr:row>
      <xdr:rowOff>135636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43EE79A1-B5E7-4933-AEAE-459E041BAB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22860</xdr:colOff>
      <xdr:row>18</xdr:row>
      <xdr:rowOff>137160</xdr:rowOff>
    </xdr:from>
    <xdr:to>
      <xdr:col>8</xdr:col>
      <xdr:colOff>1524</xdr:colOff>
      <xdr:row>30</xdr:row>
      <xdr:rowOff>128016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EFA0C68F-8864-49EE-9AA7-4BDCF9255D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</xdr:col>
      <xdr:colOff>548640</xdr:colOff>
      <xdr:row>19</xdr:row>
      <xdr:rowOff>0</xdr:rowOff>
    </xdr:from>
    <xdr:to>
      <xdr:col>12</xdr:col>
      <xdr:colOff>237744</xdr:colOff>
      <xdr:row>30</xdr:row>
      <xdr:rowOff>181356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525A35EB-664D-4546-BAF1-29EE6561D7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</xdr:col>
      <xdr:colOff>190500</xdr:colOff>
      <xdr:row>18</xdr:row>
      <xdr:rowOff>152400</xdr:rowOff>
    </xdr:from>
    <xdr:to>
      <xdr:col>16</xdr:col>
      <xdr:colOff>489204</xdr:colOff>
      <xdr:row>30</xdr:row>
      <xdr:rowOff>143256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6B16C69E-E0D3-424D-9665-6B1C22B9BD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45720</xdr:colOff>
      <xdr:row>19</xdr:row>
      <xdr:rowOff>83820</xdr:rowOff>
    </xdr:from>
    <xdr:to>
      <xdr:col>20</xdr:col>
      <xdr:colOff>344424</xdr:colOff>
      <xdr:row>31</xdr:row>
      <xdr:rowOff>74676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728ED3A4-2D5F-43C8-B544-AB0D0A30B6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</xdr:col>
      <xdr:colOff>426720</xdr:colOff>
      <xdr:row>30</xdr:row>
      <xdr:rowOff>30480</xdr:rowOff>
    </xdr:from>
    <xdr:to>
      <xdr:col>12</xdr:col>
      <xdr:colOff>115824</xdr:colOff>
      <xdr:row>42</xdr:row>
      <xdr:rowOff>21336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4AE7F9E5-1D3D-4808-8FF2-4DF41E1988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8</xdr:col>
      <xdr:colOff>175260</xdr:colOff>
      <xdr:row>30</xdr:row>
      <xdr:rowOff>76200</xdr:rowOff>
    </xdr:from>
    <xdr:to>
      <xdr:col>16</xdr:col>
      <xdr:colOff>473964</xdr:colOff>
      <xdr:row>42</xdr:row>
      <xdr:rowOff>67056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9AB03363-1898-4709-81EF-FBF3063945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4</xdr:col>
      <xdr:colOff>0</xdr:colOff>
      <xdr:row>19</xdr:row>
      <xdr:rowOff>121920</xdr:rowOff>
    </xdr:from>
    <xdr:to>
      <xdr:col>12</xdr:col>
      <xdr:colOff>298704</xdr:colOff>
      <xdr:row>31</xdr:row>
      <xdr:rowOff>112776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ADD2BC91-49BD-4CA1-AD12-294C3886AA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99060</xdr:colOff>
      <xdr:row>43</xdr:row>
      <xdr:rowOff>129540</xdr:rowOff>
    </xdr:from>
    <xdr:to>
      <xdr:col>8</xdr:col>
      <xdr:colOff>541020</xdr:colOff>
      <xdr:row>62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2E6F59-0953-4ADC-8101-F777B828BA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9</xdr:col>
      <xdr:colOff>152400</xdr:colOff>
      <xdr:row>42</xdr:row>
      <xdr:rowOff>144780</xdr:rowOff>
    </xdr:from>
    <xdr:to>
      <xdr:col>19</xdr:col>
      <xdr:colOff>167640</xdr:colOff>
      <xdr:row>58</xdr:row>
      <xdr:rowOff>106680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656989C-C709-4D99-B1DC-A73F118187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</xdr:col>
      <xdr:colOff>7620</xdr:colOff>
      <xdr:row>65</xdr:row>
      <xdr:rowOff>129540</xdr:rowOff>
    </xdr:from>
    <xdr:to>
      <xdr:col>11</xdr:col>
      <xdr:colOff>274320</xdr:colOff>
      <xdr:row>84</xdr:row>
      <xdr:rowOff>125730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E0C1B5F-9D1A-46D4-8DEF-AEB7DF1650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45</xdr:row>
      <xdr:rowOff>217170</xdr:rowOff>
    </xdr:from>
    <xdr:to>
      <xdr:col>10</xdr:col>
      <xdr:colOff>426720</xdr:colOff>
      <xdr:row>62</xdr:row>
      <xdr:rowOff>217170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FBEA1B-857C-8027-615F-13F28EDA9C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541020</xdr:colOff>
      <xdr:row>7</xdr:row>
      <xdr:rowOff>377190</xdr:rowOff>
    </xdr:from>
    <xdr:to>
      <xdr:col>14</xdr:col>
      <xdr:colOff>419100</xdr:colOff>
      <xdr:row>24</xdr:row>
      <xdr:rowOff>163830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97C5AE7E-20EF-B869-59FA-C89DD6252C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04514700" y="2045970"/>
              <a:ext cx="4572000" cy="388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4</xdr:row>
      <xdr:rowOff>259080</xdr:rowOff>
    </xdr:from>
    <xdr:to>
      <xdr:col>3</xdr:col>
      <xdr:colOff>335280</xdr:colOff>
      <xdr:row>6</xdr:row>
      <xdr:rowOff>30480</xdr:rowOff>
    </xdr:to>
    <xdr:pic>
      <xdr:nvPicPr>
        <xdr:cNvPr id="2" name="Graphic 1" descr="Cursor with solid fill">
          <a:extLst>
            <a:ext uri="{FF2B5EF4-FFF2-40B4-BE49-F238E27FC236}">
              <a16:creationId xmlns:a16="http://schemas.microsoft.com/office/drawing/2014/main" id="{BED5FD87-C3B2-41BE-9032-DC35A3131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737277960" y="1280160"/>
          <a:ext cx="297180" cy="297180"/>
        </a:xfrm>
        <a:prstGeom prst="rect">
          <a:avLst/>
        </a:prstGeom>
      </xdr:spPr>
    </xdr:pic>
    <xdr:clientData/>
  </xdr:twoCellAnchor>
  <xdr:twoCellAnchor>
    <xdr:from>
      <xdr:col>11</xdr:col>
      <xdr:colOff>495300</xdr:colOff>
      <xdr:row>1</xdr:row>
      <xdr:rowOff>99060</xdr:rowOff>
    </xdr:from>
    <xdr:to>
      <xdr:col>23</xdr:col>
      <xdr:colOff>510540</xdr:colOff>
      <xdr:row>19</xdr:row>
      <xdr:rowOff>160020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B898923-0B4B-C8DE-58A7-7E45267E0D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655320</xdr:colOff>
      <xdr:row>2</xdr:row>
      <xdr:rowOff>220980</xdr:rowOff>
    </xdr:from>
    <xdr:to>
      <xdr:col>3</xdr:col>
      <xdr:colOff>937260</xdr:colOff>
      <xdr:row>4</xdr:row>
      <xdr:rowOff>22860</xdr:rowOff>
    </xdr:to>
    <xdr:pic>
      <xdr:nvPicPr>
        <xdr:cNvPr id="3" name="Graphic 2" descr="Cursor with solid fill">
          <a:extLst>
            <a:ext uri="{FF2B5EF4-FFF2-40B4-BE49-F238E27FC236}">
              <a16:creationId xmlns:a16="http://schemas.microsoft.com/office/drawing/2014/main" id="{A45D2752-313B-AEEC-05E8-87766C64A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737598000" y="769620"/>
          <a:ext cx="281940" cy="281940"/>
        </a:xfrm>
        <a:prstGeom prst="rect">
          <a:avLst/>
        </a:prstGeom>
      </xdr:spPr>
    </xdr:pic>
    <xdr:clientData/>
  </xdr:twoCellAnchor>
  <xdr:twoCellAnchor>
    <xdr:from>
      <xdr:col>4</xdr:col>
      <xdr:colOff>457200</xdr:colOff>
      <xdr:row>16</xdr:row>
      <xdr:rowOff>15240</xdr:rowOff>
    </xdr:from>
    <xdr:to>
      <xdr:col>12</xdr:col>
      <xdr:colOff>266700</xdr:colOff>
      <xdr:row>35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1AEA79-8626-A594-0E14-D3241D633C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441960</xdr:colOff>
      <xdr:row>5</xdr:row>
      <xdr:rowOff>7620</xdr:rowOff>
    </xdr:from>
    <xdr:to>
      <xdr:col>9</xdr:col>
      <xdr:colOff>76200</xdr:colOff>
      <xdr:row>22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F8EB25CC-ED69-478C-8EEE-B5B2F1A540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82939140" y="1066800"/>
              <a:ext cx="6278880" cy="31013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182880</xdr:colOff>
      <xdr:row>5</xdr:row>
      <xdr:rowOff>99060</xdr:rowOff>
    </xdr:from>
    <xdr:to>
      <xdr:col>17</xdr:col>
      <xdr:colOff>45720</xdr:colOff>
      <xdr:row>21</xdr:row>
      <xdr:rowOff>11430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B807D11-8B12-410D-AA80-C5633FBB3A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175260</xdr:colOff>
      <xdr:row>5</xdr:row>
      <xdr:rowOff>30480</xdr:rowOff>
    </xdr:from>
    <xdr:to>
      <xdr:col>23</xdr:col>
      <xdr:colOff>480060</xdr:colOff>
      <xdr:row>20</xdr:row>
      <xdr:rowOff>30480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D5EB641-806A-A8F4-B479-0B1FA92F17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2103120</xdr:colOff>
      <xdr:row>4</xdr:row>
      <xdr:rowOff>114300</xdr:rowOff>
    </xdr:from>
    <xdr:to>
      <xdr:col>1</xdr:col>
      <xdr:colOff>2407920</xdr:colOff>
      <xdr:row>6</xdr:row>
      <xdr:rowOff>15240</xdr:rowOff>
    </xdr:to>
    <xdr:pic>
      <xdr:nvPicPr>
        <xdr:cNvPr id="2" name="Graphic 1" descr="Cursor with solid fill">
          <a:extLst>
            <a:ext uri="{FF2B5EF4-FFF2-40B4-BE49-F238E27FC236}">
              <a16:creationId xmlns:a16="http://schemas.microsoft.com/office/drawing/2014/main" id="{8D8DA553-F18A-49D3-BFAB-F62E0785B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987000600" y="1097280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1</xdr:col>
      <xdr:colOff>2080260</xdr:colOff>
      <xdr:row>6</xdr:row>
      <xdr:rowOff>175260</xdr:rowOff>
    </xdr:from>
    <xdr:to>
      <xdr:col>1</xdr:col>
      <xdr:colOff>2354580</xdr:colOff>
      <xdr:row>8</xdr:row>
      <xdr:rowOff>38100</xdr:rowOff>
    </xdr:to>
    <xdr:pic>
      <xdr:nvPicPr>
        <xdr:cNvPr id="3" name="Graphic 2" descr="Cursor with solid fill">
          <a:extLst>
            <a:ext uri="{FF2B5EF4-FFF2-40B4-BE49-F238E27FC236}">
              <a16:creationId xmlns:a16="http://schemas.microsoft.com/office/drawing/2014/main" id="{ED602768-9059-40B7-81BD-18A0C4990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987053940" y="1562100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2171700</xdr:colOff>
      <xdr:row>12</xdr:row>
      <xdr:rowOff>121920</xdr:rowOff>
    </xdr:from>
    <xdr:to>
      <xdr:col>1</xdr:col>
      <xdr:colOff>2453640</xdr:colOff>
      <xdr:row>14</xdr:row>
      <xdr:rowOff>0</xdr:rowOff>
    </xdr:to>
    <xdr:pic>
      <xdr:nvPicPr>
        <xdr:cNvPr id="4" name="Graphic 3" descr="Cursor with solid fill">
          <a:extLst>
            <a:ext uri="{FF2B5EF4-FFF2-40B4-BE49-F238E27FC236}">
              <a16:creationId xmlns:a16="http://schemas.microsoft.com/office/drawing/2014/main" id="{F90EA0AC-33E5-4C02-8769-6952334F8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987442560" y="2811780"/>
          <a:ext cx="281940" cy="281940"/>
        </a:xfrm>
        <a:prstGeom prst="rect">
          <a:avLst/>
        </a:prstGeom>
      </xdr:spPr>
    </xdr:pic>
    <xdr:clientData/>
  </xdr:twoCellAnchor>
  <xdr:twoCellAnchor editAs="oneCell">
    <xdr:from>
      <xdr:col>1</xdr:col>
      <xdr:colOff>2103120</xdr:colOff>
      <xdr:row>5</xdr:row>
      <xdr:rowOff>182880</xdr:rowOff>
    </xdr:from>
    <xdr:to>
      <xdr:col>1</xdr:col>
      <xdr:colOff>2362200</xdr:colOff>
      <xdr:row>7</xdr:row>
      <xdr:rowOff>30480</xdr:rowOff>
    </xdr:to>
    <xdr:pic>
      <xdr:nvPicPr>
        <xdr:cNvPr id="5" name="Graphic 4" descr="Cursor with solid fill">
          <a:extLst>
            <a:ext uri="{FF2B5EF4-FFF2-40B4-BE49-F238E27FC236}">
              <a16:creationId xmlns:a16="http://schemas.microsoft.com/office/drawing/2014/main" id="{ACBD9E42-2313-4EAC-BE13-FD85F8AB3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7046320" y="1363980"/>
          <a:ext cx="259080" cy="2590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304800</xdr:colOff>
      <xdr:row>24</xdr:row>
      <xdr:rowOff>76200</xdr:rowOff>
    </xdr:to>
    <xdr:pic>
      <xdr:nvPicPr>
        <xdr:cNvPr id="7" name="Graphic 6" descr="Cursor with solid fill">
          <a:extLst>
            <a:ext uri="{FF2B5EF4-FFF2-40B4-BE49-F238E27FC236}">
              <a16:creationId xmlns:a16="http://schemas.microsoft.com/office/drawing/2014/main" id="{CAA19FA7-A46B-4F8A-8745-DB9C451C5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984943200" y="4975860"/>
          <a:ext cx="304800" cy="3048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</xdr:colOff>
      <xdr:row>62</xdr:row>
      <xdr:rowOff>57150</xdr:rowOff>
    </xdr:from>
    <xdr:to>
      <xdr:col>18</xdr:col>
      <xdr:colOff>0</xdr:colOff>
      <xdr:row>77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D7653D-B06A-424A-4277-D726496C13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tradingeconomics.com/egypt/inflation-cpi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www.cbe.org.eg/en/auctions" TargetMode="External"/><Relationship Id="rId1" Type="http://schemas.openxmlformats.org/officeDocument/2006/relationships/hyperlink" Target="https://tradingeconomics.com/egypt/indicators" TargetMode="External"/><Relationship Id="rId4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be.org.eg/ar/economic-research/statistics/monthly-interest-rates" TargetMode="External"/><Relationship Id="rId2" Type="http://schemas.openxmlformats.org/officeDocument/2006/relationships/hyperlink" Target="https://pages.stern.nyu.edu/~adamodar/New_Home_Page/datafile/ctryprem.html" TargetMode="External"/><Relationship Id="rId1" Type="http://schemas.openxmlformats.org/officeDocument/2006/relationships/hyperlink" Target="https://www.cbe.org.eg/en/auctions/egp-t-bills" TargetMode="External"/><Relationship Id="rId6" Type="http://schemas.openxmlformats.org/officeDocument/2006/relationships/drawing" Target="../drawings/drawing6.xml"/><Relationship Id="rId5" Type="http://schemas.openxmlformats.org/officeDocument/2006/relationships/hyperlink" Target="https://www.cbe.org.eg/en/economic-research/statistics/discount-rates" TargetMode="External"/><Relationship Id="rId4" Type="http://schemas.openxmlformats.org/officeDocument/2006/relationships/hyperlink" Target="https://finbox.com/CASE:EMFD/explorer/beta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aistudio.google.com/apps/a69eee55-89f0-4cdf-8fd0-b7971fc85c01?fullscreenApplet=true&amp;showPreview=true&amp;showAssistant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BC55D-E0FF-4FD1-B5EA-F7C1518199EB}">
  <sheetPr codeName="Sheet1"/>
  <dimension ref="B1:N218"/>
  <sheetViews>
    <sheetView rightToLeft="1" tabSelected="1" zoomScaleNormal="100" workbookViewId="0">
      <selection activeCell="B4" sqref="B4"/>
    </sheetView>
  </sheetViews>
  <sheetFormatPr defaultRowHeight="15" x14ac:dyDescent="0.25"/>
  <cols>
    <col min="1" max="1" width="3.77734375" style="132" customWidth="1"/>
    <col min="2" max="2" width="22.44140625" style="132" bestFit="1" customWidth="1"/>
    <col min="3" max="16384" width="8.88671875" style="132"/>
  </cols>
  <sheetData>
    <row r="1" spans="2:14" s="133" customFormat="1" x14ac:dyDescent="0.25"/>
    <row r="2" spans="2:14" s="133" customFormat="1" ht="30" x14ac:dyDescent="0.5">
      <c r="L2" s="137" t="s">
        <v>325</v>
      </c>
      <c r="M2" s="134"/>
      <c r="N2" s="134"/>
    </row>
    <row r="3" spans="2:14" s="133" customFormat="1" ht="20.399999999999999" x14ac:dyDescent="0.35">
      <c r="L3" s="135" t="s">
        <v>157</v>
      </c>
      <c r="M3" s="136" t="str">
        <f>'SCENARIO-1 '!D2</f>
        <v>ABC</v>
      </c>
      <c r="N3" s="134"/>
    </row>
    <row r="4" spans="2:14" s="133" customFormat="1" x14ac:dyDescent="0.25"/>
    <row r="5" spans="2:14" s="133" customFormat="1" x14ac:dyDescent="0.25"/>
    <row r="8" spans="2:14" ht="22.8" x14ac:dyDescent="0.4">
      <c r="B8" s="145" t="s">
        <v>391</v>
      </c>
    </row>
    <row r="64" s="132" customFormat="1" x14ac:dyDescent="0.25"/>
    <row r="87" spans="2:2" ht="22.8" x14ac:dyDescent="0.4">
      <c r="B87" s="145" t="s">
        <v>387</v>
      </c>
    </row>
    <row r="106" spans="2:2" ht="22.8" x14ac:dyDescent="0.4">
      <c r="B106" s="145" t="s">
        <v>388</v>
      </c>
    </row>
    <row r="138" spans="2:2" ht="22.8" x14ac:dyDescent="0.4">
      <c r="B138" s="146" t="s">
        <v>389</v>
      </c>
    </row>
    <row r="190" spans="2:2" ht="22.8" x14ac:dyDescent="0.4">
      <c r="B190" s="146" t="s">
        <v>390</v>
      </c>
    </row>
    <row r="218" spans="2:2" ht="22.8" x14ac:dyDescent="0.4">
      <c r="B218" s="14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CFA86-89D0-4039-A98B-F0C79B2E5C65}">
  <sheetPr codeName="Sheet2">
    <pageSetUpPr fitToPage="1"/>
  </sheetPr>
  <dimension ref="B2:AD209"/>
  <sheetViews>
    <sheetView showGridLines="0" rightToLeft="1" zoomScaleNormal="100" zoomScaleSheetLayoutView="96" workbookViewId="0">
      <selection activeCell="C6" sqref="C6"/>
    </sheetView>
  </sheetViews>
  <sheetFormatPr defaultColWidth="8.77734375" defaultRowHeight="17.399999999999999" x14ac:dyDescent="0.3"/>
  <cols>
    <col min="1" max="1" width="3.77734375" style="1" customWidth="1"/>
    <col min="2" max="2" width="32.44140625" style="1" customWidth="1"/>
    <col min="3" max="3" width="51.33203125" style="1" bestFit="1" customWidth="1"/>
    <col min="4" max="4" width="24.109375" style="1" customWidth="1"/>
    <col min="5" max="5" width="16.109375" style="1" bestFit="1" customWidth="1"/>
    <col min="6" max="6" width="22.33203125" style="1" customWidth="1"/>
    <col min="7" max="7" width="22.44140625" style="1" bestFit="1" customWidth="1"/>
    <col min="8" max="8" width="22" style="1" bestFit="1" customWidth="1"/>
    <col min="9" max="9" width="17.21875" style="1" bestFit="1" customWidth="1"/>
    <col min="10" max="10" width="18.44140625" style="1" customWidth="1"/>
    <col min="11" max="11" width="14.5546875" style="1" customWidth="1"/>
    <col min="12" max="12" width="19.109375" style="1" bestFit="1" customWidth="1"/>
    <col min="13" max="13" width="14.6640625" style="1" customWidth="1"/>
    <col min="14" max="14" width="13.77734375" style="1" bestFit="1" customWidth="1"/>
    <col min="15" max="15" width="12.5546875" style="1" bestFit="1" customWidth="1"/>
    <col min="16" max="16" width="9.109375" style="1" bestFit="1" customWidth="1"/>
    <col min="17" max="17" width="8.77734375" style="1"/>
    <col min="18" max="18" width="7.5546875" style="1" customWidth="1"/>
    <col min="19" max="19" width="12.5546875" style="1" bestFit="1" customWidth="1"/>
    <col min="20" max="16384" width="8.77734375" style="1"/>
  </cols>
  <sheetData>
    <row r="2" spans="2:22" ht="23.4" thickBot="1" x14ac:dyDescent="0.35">
      <c r="C2" s="168" t="s">
        <v>381</v>
      </c>
      <c r="D2" s="68" t="s">
        <v>386</v>
      </c>
      <c r="E2" s="66"/>
      <c r="F2" s="66"/>
    </row>
    <row r="3" spans="2:22" ht="19.8" customHeight="1" thickTop="1" thickBot="1" x14ac:dyDescent="0.35">
      <c r="C3" s="216"/>
      <c r="D3" s="216"/>
      <c r="E3" s="216"/>
      <c r="F3" s="216"/>
    </row>
    <row r="5" spans="2:22" x14ac:dyDescent="0.3">
      <c r="C5" s="215"/>
      <c r="M5" s="250"/>
      <c r="N5" s="250"/>
      <c r="O5" s="250"/>
      <c r="P5" s="250"/>
      <c r="Q5" s="250"/>
      <c r="R5" s="250"/>
      <c r="S5" s="250"/>
      <c r="T5" s="250"/>
      <c r="U5" s="250"/>
      <c r="V5" s="250"/>
    </row>
    <row r="6" spans="2:22" ht="23.4" thickBot="1" x14ac:dyDescent="0.35">
      <c r="B6" s="5" t="s">
        <v>0</v>
      </c>
      <c r="C6" s="217">
        <v>1</v>
      </c>
      <c r="M6" s="250"/>
      <c r="N6" s="250"/>
      <c r="O6" s="250"/>
      <c r="P6" s="250"/>
      <c r="Q6" s="250"/>
      <c r="R6" s="250"/>
      <c r="S6" s="250"/>
      <c r="T6" s="250"/>
      <c r="U6" s="250"/>
      <c r="V6" s="250"/>
    </row>
    <row r="7" spans="2:22" x14ac:dyDescent="0.3">
      <c r="M7" s="250"/>
      <c r="N7" s="250"/>
      <c r="O7" s="250"/>
      <c r="P7" s="250"/>
      <c r="Q7" s="250"/>
      <c r="R7" s="250"/>
      <c r="S7" s="250"/>
      <c r="T7" s="250"/>
      <c r="U7" s="250"/>
      <c r="V7" s="250"/>
    </row>
    <row r="8" spans="2:22" x14ac:dyDescent="0.3">
      <c r="B8" s="16" t="s">
        <v>1</v>
      </c>
      <c r="C8" s="16" t="s">
        <v>2</v>
      </c>
      <c r="D8" s="16" t="s">
        <v>186</v>
      </c>
      <c r="E8" s="16" t="s">
        <v>256</v>
      </c>
      <c r="F8" s="16" t="s">
        <v>5</v>
      </c>
      <c r="G8" s="16" t="s">
        <v>89</v>
      </c>
      <c r="H8" s="16" t="s">
        <v>6</v>
      </c>
      <c r="I8" s="16" t="s">
        <v>293</v>
      </c>
      <c r="J8" s="16" t="s">
        <v>7</v>
      </c>
      <c r="K8" s="16" t="s">
        <v>8</v>
      </c>
      <c r="M8" s="250"/>
      <c r="N8" s="250"/>
      <c r="O8" s="250"/>
      <c r="P8" s="250"/>
      <c r="Q8" s="251"/>
      <c r="R8" s="250"/>
      <c r="S8" s="250"/>
      <c r="T8" s="250"/>
      <c r="U8" s="250"/>
      <c r="V8" s="250"/>
    </row>
    <row r="9" spans="2:22" x14ac:dyDescent="0.3">
      <c r="B9" s="2" t="s">
        <v>91</v>
      </c>
      <c r="C9" s="16">
        <f>CHOOSE(C6,G.SALARY!D51,G.SALARY!G51)</f>
        <v>12000.000000000002</v>
      </c>
      <c r="D9" s="16">
        <v>0</v>
      </c>
      <c r="E9" s="16">
        <v>0</v>
      </c>
      <c r="F9" s="16">
        <f>F16</f>
        <v>4521.0382993675339</v>
      </c>
      <c r="G9" s="16">
        <v>130</v>
      </c>
      <c r="H9" s="16">
        <f>CHOOSE(C6,G.SALARY!D49,G.SALARY!G49)</f>
        <v>1517.5245959241047</v>
      </c>
      <c r="I9" s="16">
        <v>0</v>
      </c>
      <c r="J9" s="16">
        <f>CHOOSE(C6,G.SALARY!D50,G.SALARY!G50)</f>
        <v>7.5983836964160236</v>
      </c>
      <c r="K9" s="191">
        <f>SUM(C9:J9)</f>
        <v>18176.161278988056</v>
      </c>
      <c r="L9" s="14">
        <f>E33*K9</f>
        <v>18176.161278988056</v>
      </c>
      <c r="M9" s="250"/>
      <c r="N9" s="250"/>
      <c r="O9" s="250"/>
      <c r="P9" s="252"/>
      <c r="Q9" s="251"/>
      <c r="R9" s="250"/>
      <c r="S9" s="250"/>
      <c r="T9" s="250"/>
      <c r="U9" s="250"/>
      <c r="V9" s="250"/>
    </row>
    <row r="10" spans="2:22" x14ac:dyDescent="0.3">
      <c r="B10" s="2" t="s">
        <v>3</v>
      </c>
      <c r="C10" s="16">
        <f>CHOOSE(C6,G.SALARY!D32,G.SALARY!G32)</f>
        <v>9000</v>
      </c>
      <c r="D10" s="16">
        <v>0</v>
      </c>
      <c r="E10" s="16">
        <v>0</v>
      </c>
      <c r="F10" s="16">
        <f t="shared" ref="F10:F11" si="0">F17</f>
        <v>3266.6461700632462</v>
      </c>
      <c r="G10" s="16">
        <v>130</v>
      </c>
      <c r="H10" s="16">
        <f>CHOOSE(C6,G.SALARY!D30,G.SALARY!G30)</f>
        <v>766.99754040758933</v>
      </c>
      <c r="I10" s="16">
        <v>70</v>
      </c>
      <c r="J10" s="16">
        <f>CHOOSE(C6,G.SALARY!D31,G.SALARY!G31)</f>
        <v>5.4901616303583971</v>
      </c>
      <c r="K10" s="191">
        <f t="shared" ref="K10:K11" si="1">SUM(C10:J10)</f>
        <v>13239.133872101193</v>
      </c>
      <c r="L10" s="14">
        <f>E34*K10</f>
        <v>79434.803232607155</v>
      </c>
      <c r="M10" s="250"/>
      <c r="N10" s="250"/>
      <c r="O10" s="250"/>
      <c r="P10" s="252"/>
      <c r="Q10" s="251"/>
      <c r="R10" s="250"/>
      <c r="S10" s="250"/>
      <c r="T10" s="250"/>
      <c r="U10" s="250"/>
      <c r="V10" s="250"/>
    </row>
    <row r="11" spans="2:22" x14ac:dyDescent="0.3">
      <c r="B11" s="2" t="s">
        <v>4</v>
      </c>
      <c r="C11" s="16">
        <f>CHOOSE(C6,G.SALARY!D13,G.SALARY!G13)</f>
        <v>7000.0000000000009</v>
      </c>
      <c r="D11" s="16">
        <v>0</v>
      </c>
      <c r="E11" s="16">
        <v>0</v>
      </c>
      <c r="F11" s="16">
        <f t="shared" si="0"/>
        <v>2434.8958333333335</v>
      </c>
      <c r="G11" s="16">
        <v>130</v>
      </c>
      <c r="H11" s="16">
        <f>CHOOSE(C6,G.SALARY!D11,G.SALARY!G11)</f>
        <v>280.13392857142867</v>
      </c>
      <c r="I11" s="16">
        <v>100</v>
      </c>
      <c r="J11" s="16">
        <f>CHOOSE(C6,G.SALARY!D12,G.SALARY!G12)</f>
        <v>4.0922619047619051</v>
      </c>
      <c r="K11" s="191">
        <f t="shared" si="1"/>
        <v>9949.1220238095248</v>
      </c>
      <c r="L11" s="193">
        <f>E35*K11</f>
        <v>417863.12500000006</v>
      </c>
      <c r="M11" s="250"/>
      <c r="N11" s="250"/>
      <c r="O11" s="250"/>
      <c r="P11" s="251"/>
      <c r="Q11" s="250"/>
      <c r="R11" s="250"/>
      <c r="S11" s="250"/>
      <c r="T11" s="250"/>
      <c r="U11" s="250"/>
      <c r="V11" s="250"/>
    </row>
    <row r="12" spans="2:22" x14ac:dyDescent="0.3">
      <c r="K12" s="44"/>
      <c r="L12" s="14">
        <f>SUM(L9:L11)</f>
        <v>515474.08951159526</v>
      </c>
      <c r="M12" s="250"/>
      <c r="N12" s="250"/>
      <c r="O12" s="250"/>
      <c r="P12" s="250"/>
      <c r="Q12" s="250"/>
      <c r="R12" s="250"/>
      <c r="S12" s="250"/>
      <c r="T12" s="250"/>
      <c r="U12" s="250"/>
      <c r="V12" s="250"/>
    </row>
    <row r="13" spans="2:22" ht="23.4" thickBot="1" x14ac:dyDescent="0.35">
      <c r="B13" s="5" t="s">
        <v>90</v>
      </c>
      <c r="K13" s="44"/>
      <c r="L13" s="194"/>
      <c r="M13" s="250"/>
      <c r="N13" s="250"/>
      <c r="O13" s="250"/>
      <c r="P13" s="250"/>
      <c r="Q13" s="250"/>
      <c r="R13" s="250"/>
      <c r="S13" s="250"/>
      <c r="T13" s="250"/>
      <c r="U13" s="250"/>
      <c r="V13" s="250"/>
    </row>
    <row r="14" spans="2:22" x14ac:dyDescent="0.3">
      <c r="M14" s="250"/>
      <c r="N14" s="250"/>
      <c r="O14" s="250"/>
      <c r="P14" s="250"/>
      <c r="Q14" s="250"/>
      <c r="R14" s="250"/>
      <c r="S14" s="250"/>
      <c r="T14" s="250"/>
      <c r="U14" s="250"/>
      <c r="V14" s="250"/>
    </row>
    <row r="15" spans="2:22" ht="35.4" thickBot="1" x14ac:dyDescent="0.35">
      <c r="B15" s="6" t="s">
        <v>1</v>
      </c>
      <c r="C15" s="6" t="s">
        <v>92</v>
      </c>
      <c r="D15" s="9" t="s">
        <v>93</v>
      </c>
      <c r="E15" s="9" t="s">
        <v>94</v>
      </c>
      <c r="F15" s="6" t="s">
        <v>95</v>
      </c>
    </row>
    <row r="16" spans="2:22" ht="18" thickTop="1" x14ac:dyDescent="0.3">
      <c r="B16" s="2" t="s">
        <v>91</v>
      </c>
      <c r="C16" s="15">
        <f>CHOOSE(C6,G.SALARY!D46,G.SALARY!G46)</f>
        <v>15196.767392832047</v>
      </c>
      <c r="D16" s="15">
        <f>C16*18.75%</f>
        <v>2849.3938861560091</v>
      </c>
      <c r="E16" s="15">
        <f>C16*11%</f>
        <v>1671.6444132115253</v>
      </c>
      <c r="F16" s="15">
        <f>SUM(D16:E16)</f>
        <v>4521.0382993675339</v>
      </c>
    </row>
    <row r="17" spans="2:14" x14ac:dyDescent="0.3">
      <c r="B17" s="2" t="s">
        <v>3</v>
      </c>
      <c r="C17" s="15">
        <f>CHOOSE(C6,G.SALARY!D27,G.SALARY!G27)</f>
        <v>10980.323260716794</v>
      </c>
      <c r="D17" s="15">
        <f t="shared" ref="D17:D18" si="2">C17*18.75%</f>
        <v>2058.8106113843987</v>
      </c>
      <c r="E17" s="15">
        <f t="shared" ref="E17:E18" si="3">C17*11%</f>
        <v>1207.8355586788473</v>
      </c>
      <c r="F17" s="15">
        <f t="shared" ref="F17:F18" si="4">SUM(D17:E17)</f>
        <v>3266.6461700632462</v>
      </c>
    </row>
    <row r="18" spans="2:14" x14ac:dyDescent="0.3">
      <c r="B18" s="2" t="s">
        <v>4</v>
      </c>
      <c r="C18" s="16">
        <f>CHOOSE(C6,G.SALARY!D8,G.SALARY!G8)</f>
        <v>8184.5238095238101</v>
      </c>
      <c r="D18" s="16">
        <f t="shared" si="2"/>
        <v>1534.5982142857144</v>
      </c>
      <c r="E18" s="16">
        <f t="shared" si="3"/>
        <v>900.29761904761915</v>
      </c>
      <c r="F18" s="16">
        <f t="shared" si="4"/>
        <v>2434.8958333333335</v>
      </c>
      <c r="I18" s="250"/>
      <c r="J18" s="250"/>
      <c r="K18" s="250"/>
      <c r="L18" s="250"/>
      <c r="M18" s="250"/>
    </row>
    <row r="19" spans="2:14" x14ac:dyDescent="0.3">
      <c r="I19" s="250"/>
      <c r="J19" s="250"/>
      <c r="K19" s="250"/>
      <c r="L19" s="250"/>
      <c r="M19" s="250"/>
    </row>
    <row r="20" spans="2:14" ht="23.4" thickBot="1" x14ac:dyDescent="0.35">
      <c r="B20" s="5" t="s">
        <v>9</v>
      </c>
      <c r="I20" s="250"/>
      <c r="J20" s="250"/>
      <c r="K20" s="250"/>
      <c r="L20" s="250"/>
      <c r="M20" s="250"/>
    </row>
    <row r="21" spans="2:14" ht="22.8" x14ac:dyDescent="0.3">
      <c r="D21" s="4" t="str">
        <f>CHOOSE(F21,INPUTS!E9,INPUTS!E10,INPUTS!E11,INPUTS!E12)</f>
        <v>اختيار1: 8 ساعات/7 أيام</v>
      </c>
      <c r="F21" s="217">
        <v>1</v>
      </c>
      <c r="G21" s="254"/>
      <c r="I21" s="250"/>
      <c r="J21" s="250"/>
      <c r="K21" s="250"/>
      <c r="L21" s="250"/>
      <c r="M21" s="250"/>
    </row>
    <row r="22" spans="2:14" ht="22.8" x14ac:dyDescent="0.3">
      <c r="D22" s="4"/>
      <c r="G22" s="255"/>
      <c r="I22" s="250"/>
      <c r="J22" s="250"/>
      <c r="K22" s="250"/>
      <c r="L22" s="250"/>
      <c r="M22" s="250"/>
    </row>
    <row r="23" spans="2:14" x14ac:dyDescent="0.3">
      <c r="G23" s="255"/>
      <c r="I23" s="250"/>
      <c r="J23" s="250"/>
      <c r="K23" s="250"/>
      <c r="L23" s="250"/>
      <c r="M23" s="250"/>
    </row>
    <row r="24" spans="2:14" ht="18" thickBot="1" x14ac:dyDescent="0.35">
      <c r="B24" s="6" t="s">
        <v>1</v>
      </c>
      <c r="C24" s="6" t="s">
        <v>79</v>
      </c>
      <c r="D24" s="6" t="s">
        <v>80</v>
      </c>
      <c r="E24" s="6" t="s">
        <v>81</v>
      </c>
      <c r="F24" s="247" t="s">
        <v>13</v>
      </c>
      <c r="G24" s="255"/>
      <c r="I24" s="250"/>
      <c r="J24" s="250"/>
      <c r="K24" s="250"/>
      <c r="L24" s="250"/>
      <c r="M24" s="250"/>
    </row>
    <row r="25" spans="2:14" ht="18.600000000000001" thickTop="1" thickBot="1" x14ac:dyDescent="0.35">
      <c r="B25" s="2" t="s">
        <v>91</v>
      </c>
      <c r="C25" s="15">
        <v>1</v>
      </c>
      <c r="D25" s="15">
        <v>0</v>
      </c>
      <c r="E25" s="15">
        <v>0</v>
      </c>
      <c r="F25" s="6">
        <f>SUM(C25:E25)</f>
        <v>1</v>
      </c>
      <c r="I25" s="250"/>
      <c r="J25" s="250"/>
      <c r="K25" s="250"/>
      <c r="L25" s="250"/>
      <c r="M25" s="250"/>
    </row>
    <row r="26" spans="2:14" ht="18.600000000000001" thickTop="1" thickBot="1" x14ac:dyDescent="0.35">
      <c r="B26" s="2" t="s">
        <v>3</v>
      </c>
      <c r="C26" s="16">
        <v>2</v>
      </c>
      <c r="D26" s="16">
        <v>2</v>
      </c>
      <c r="E26" s="16">
        <v>1</v>
      </c>
      <c r="F26" s="6">
        <f>SUM(C26:E26)</f>
        <v>5</v>
      </c>
      <c r="I26" s="250"/>
      <c r="J26" s="250"/>
      <c r="K26" s="250"/>
      <c r="L26" s="250"/>
      <c r="M26" s="250"/>
    </row>
    <row r="27" spans="2:14" ht="18.600000000000001" thickTop="1" thickBot="1" x14ac:dyDescent="0.35">
      <c r="B27" s="2" t="s">
        <v>4</v>
      </c>
      <c r="C27" s="16">
        <v>12</v>
      </c>
      <c r="D27" s="16">
        <v>12</v>
      </c>
      <c r="E27" s="16">
        <v>12</v>
      </c>
      <c r="F27" s="6">
        <f>SUM(C27:E27)</f>
        <v>36</v>
      </c>
      <c r="I27" s="250"/>
      <c r="J27" s="250"/>
      <c r="K27" s="250"/>
      <c r="L27" s="250"/>
      <c r="M27" s="250"/>
    </row>
    <row r="28" spans="2:14" ht="18" thickTop="1" x14ac:dyDescent="0.3">
      <c r="E28" s="250"/>
      <c r="F28" s="250"/>
      <c r="G28" s="250"/>
      <c r="H28" s="250"/>
      <c r="I28" s="250"/>
      <c r="J28" s="250"/>
      <c r="K28" s="250"/>
      <c r="L28" s="250"/>
      <c r="M28" s="250"/>
    </row>
    <row r="29" spans="2:14" ht="23.4" thickBot="1" x14ac:dyDescent="0.35">
      <c r="B29" s="5" t="s">
        <v>100</v>
      </c>
      <c r="C29" s="215"/>
      <c r="D29" s="253">
        <v>0.16600000000000001</v>
      </c>
      <c r="E29" s="250"/>
      <c r="F29" s="250"/>
      <c r="G29" s="250"/>
      <c r="H29" s="250"/>
    </row>
    <row r="30" spans="2:14" ht="22.8" x14ac:dyDescent="0.3">
      <c r="B30" s="4"/>
      <c r="C30" s="217">
        <v>1</v>
      </c>
      <c r="D30" s="220"/>
      <c r="E30" s="250"/>
      <c r="F30" s="250"/>
      <c r="G30" s="250"/>
      <c r="H30" s="250"/>
    </row>
    <row r="31" spans="2:14" x14ac:dyDescent="0.3">
      <c r="E31" s="250"/>
      <c r="F31" s="250"/>
      <c r="G31" s="250"/>
      <c r="H31" s="250"/>
    </row>
    <row r="32" spans="2:14" ht="18" thickBot="1" x14ac:dyDescent="0.35">
      <c r="B32" s="6" t="s">
        <v>1</v>
      </c>
      <c r="C32" s="6" t="s">
        <v>10</v>
      </c>
      <c r="D32" s="6" t="s">
        <v>11</v>
      </c>
      <c r="E32" s="6" t="s">
        <v>12</v>
      </c>
      <c r="F32" s="6" t="s">
        <v>66</v>
      </c>
      <c r="G32" s="6" t="s">
        <v>186</v>
      </c>
      <c r="H32" s="6" t="s">
        <v>256</v>
      </c>
      <c r="I32" s="6" t="s">
        <v>5</v>
      </c>
      <c r="J32" s="6" t="s">
        <v>138</v>
      </c>
      <c r="K32" s="6" t="s">
        <v>6</v>
      </c>
      <c r="L32" s="6" t="s">
        <v>86</v>
      </c>
      <c r="M32" s="6" t="s">
        <v>139</v>
      </c>
      <c r="N32" s="6" t="s">
        <v>73</v>
      </c>
    </row>
    <row r="33" spans="2:14" ht="18.600000000000001" thickTop="1" thickBot="1" x14ac:dyDescent="0.35">
      <c r="B33" s="2" t="s">
        <v>91</v>
      </c>
      <c r="C33" s="16">
        <f>F25</f>
        <v>1</v>
      </c>
      <c r="D33" s="15">
        <v>0</v>
      </c>
      <c r="E33" s="15">
        <f>SUM(C33:D33)</f>
        <v>1</v>
      </c>
      <c r="F33" s="15">
        <f>E33*C9</f>
        <v>12000.000000000002</v>
      </c>
      <c r="G33" s="15">
        <f t="shared" ref="G33:M33" si="5">$E$33*D9</f>
        <v>0</v>
      </c>
      <c r="H33" s="15">
        <f t="shared" si="5"/>
        <v>0</v>
      </c>
      <c r="I33" s="15">
        <f t="shared" si="5"/>
        <v>4521.0382993675339</v>
      </c>
      <c r="J33" s="15">
        <f t="shared" si="5"/>
        <v>130</v>
      </c>
      <c r="K33" s="15">
        <f t="shared" si="5"/>
        <v>1517.5245959241047</v>
      </c>
      <c r="L33" s="15">
        <f t="shared" si="5"/>
        <v>0</v>
      </c>
      <c r="M33" s="15">
        <f t="shared" si="5"/>
        <v>7.5983836964160236</v>
      </c>
      <c r="N33" s="192">
        <f>SUM(F33:M33)</f>
        <v>18176.161278988056</v>
      </c>
    </row>
    <row r="34" spans="2:14" ht="18.600000000000001" thickTop="1" thickBot="1" x14ac:dyDescent="0.35">
      <c r="B34" s="2" t="s">
        <v>3</v>
      </c>
      <c r="C34" s="16">
        <f>F26</f>
        <v>5</v>
      </c>
      <c r="D34" s="16">
        <f>CHOOSE($C$30,C34*$D$29,0,0)</f>
        <v>0.83000000000000007</v>
      </c>
      <c r="E34" s="16">
        <f>C34+ROUNDUP(D34,0)</f>
        <v>6</v>
      </c>
      <c r="F34" s="15">
        <f t="shared" ref="F34:M34" si="6">$E$34*C10</f>
        <v>54000</v>
      </c>
      <c r="G34" s="15">
        <f t="shared" si="6"/>
        <v>0</v>
      </c>
      <c r="H34" s="15">
        <f t="shared" si="6"/>
        <v>0</v>
      </c>
      <c r="I34" s="15">
        <f t="shared" si="6"/>
        <v>19599.877020379477</v>
      </c>
      <c r="J34" s="15">
        <f t="shared" si="6"/>
        <v>780</v>
      </c>
      <c r="K34" s="15">
        <f t="shared" si="6"/>
        <v>4601.9852424455357</v>
      </c>
      <c r="L34" s="15">
        <f t="shared" si="6"/>
        <v>420</v>
      </c>
      <c r="M34" s="15">
        <f t="shared" si="6"/>
        <v>32.940969782150383</v>
      </c>
      <c r="N34" s="192">
        <f>SUM(F34:M34)</f>
        <v>79434.803232607155</v>
      </c>
    </row>
    <row r="35" spans="2:14" ht="18.600000000000001" thickTop="1" thickBot="1" x14ac:dyDescent="0.35">
      <c r="B35" s="2" t="s">
        <v>4</v>
      </c>
      <c r="C35" s="16">
        <f>F27</f>
        <v>36</v>
      </c>
      <c r="D35" s="16">
        <f>CHOOSE($C$30,C35*$D$29,0,C35*$D$29)</f>
        <v>5.976</v>
      </c>
      <c r="E35" s="16">
        <f>C35+ROUNDUP(D35,0)</f>
        <v>42</v>
      </c>
      <c r="F35" s="15">
        <f>E35*C11</f>
        <v>294000.00000000006</v>
      </c>
      <c r="G35" s="15">
        <f t="shared" ref="G35:M35" si="7">$E$35*D11</f>
        <v>0</v>
      </c>
      <c r="H35" s="15">
        <f t="shared" si="7"/>
        <v>0</v>
      </c>
      <c r="I35" s="15">
        <f t="shared" si="7"/>
        <v>102265.625</v>
      </c>
      <c r="J35" s="15">
        <f t="shared" si="7"/>
        <v>5460</v>
      </c>
      <c r="K35" s="15">
        <f t="shared" si="7"/>
        <v>11765.625000000004</v>
      </c>
      <c r="L35" s="15">
        <f t="shared" si="7"/>
        <v>4200</v>
      </c>
      <c r="M35" s="15">
        <f t="shared" si="7"/>
        <v>171.875</v>
      </c>
      <c r="N35" s="192">
        <f>SUM(F35:M35)</f>
        <v>417863.12500000006</v>
      </c>
    </row>
    <row r="36" spans="2:14" ht="24" thickTop="1" thickBot="1" x14ac:dyDescent="0.35">
      <c r="B36" s="6" t="s">
        <v>13</v>
      </c>
      <c r="C36" s="6">
        <f>SUM(C33:C35)</f>
        <v>42</v>
      </c>
      <c r="D36" s="6">
        <f>SUM(D34:D35)</f>
        <v>6.806</v>
      </c>
      <c r="E36" s="8">
        <f>SUM(E33:E35)</f>
        <v>49</v>
      </c>
      <c r="F36" s="173">
        <f t="shared" ref="F36:M36" si="8">SUM(F33:F35)</f>
        <v>360000.00000000006</v>
      </c>
      <c r="G36" s="173">
        <f t="shared" si="8"/>
        <v>0</v>
      </c>
      <c r="H36" s="173">
        <f t="shared" si="8"/>
        <v>0</v>
      </c>
      <c r="I36" s="173">
        <f t="shared" si="8"/>
        <v>126386.54031974702</v>
      </c>
      <c r="J36" s="173">
        <f t="shared" si="8"/>
        <v>6370</v>
      </c>
      <c r="K36" s="173">
        <f t="shared" si="8"/>
        <v>17885.134838369646</v>
      </c>
      <c r="L36" s="173">
        <f t="shared" si="8"/>
        <v>4620</v>
      </c>
      <c r="M36" s="173">
        <f t="shared" si="8"/>
        <v>212.4143534785664</v>
      </c>
      <c r="N36" s="173">
        <f>SUM(N33:N35)</f>
        <v>515474.08951159526</v>
      </c>
    </row>
    <row r="37" spans="2:14" ht="18" thickTop="1" x14ac:dyDescent="0.3">
      <c r="N37" s="194">
        <f>$N$36-$L$12</f>
        <v>0</v>
      </c>
    </row>
    <row r="38" spans="2:14" x14ac:dyDescent="0.3">
      <c r="C38" s="249"/>
    </row>
    <row r="39" spans="2:14" ht="23.4" thickBot="1" x14ac:dyDescent="0.35">
      <c r="B39" s="5" t="s">
        <v>14</v>
      </c>
      <c r="C39" s="217">
        <v>1</v>
      </c>
    </row>
    <row r="41" spans="2:14" ht="18" thickBot="1" x14ac:dyDescent="0.35">
      <c r="B41" s="6" t="s">
        <v>15</v>
      </c>
      <c r="C41" s="6" t="s">
        <v>19</v>
      </c>
      <c r="D41" s="6" t="s">
        <v>20</v>
      </c>
      <c r="E41" s="6" t="s">
        <v>21</v>
      </c>
      <c r="F41" s="6" t="s">
        <v>22</v>
      </c>
      <c r="G41" s="6" t="s">
        <v>23</v>
      </c>
      <c r="H41" s="6" t="s">
        <v>227</v>
      </c>
    </row>
    <row r="42" spans="2:14" ht="18.600000000000001" thickTop="1" thickBot="1" x14ac:dyDescent="0.35">
      <c r="B42" s="2" t="s">
        <v>16</v>
      </c>
      <c r="C42" s="16">
        <v>0</v>
      </c>
      <c r="D42" s="16">
        <v>1</v>
      </c>
      <c r="E42" s="16">
        <v>1600</v>
      </c>
      <c r="F42" s="16">
        <f>E42*D42</f>
        <v>1600</v>
      </c>
      <c r="G42" s="6">
        <f>F42*CHOOSE($C$39,INPUTS!$D$19,INPUTS!$D$20)</f>
        <v>49600</v>
      </c>
      <c r="H42" s="6">
        <f>G45/C36</f>
        <v>3542.8571428571427</v>
      </c>
    </row>
    <row r="43" spans="2:14" ht="18.600000000000001" thickTop="1" thickBot="1" x14ac:dyDescent="0.35">
      <c r="B43" s="2" t="s">
        <v>17</v>
      </c>
      <c r="C43" s="16">
        <v>0</v>
      </c>
      <c r="D43" s="16">
        <v>1</v>
      </c>
      <c r="E43" s="16">
        <v>1600</v>
      </c>
      <c r="F43" s="16">
        <f t="shared" ref="F43:F44" si="9">E43*D43</f>
        <v>1600</v>
      </c>
      <c r="G43" s="6">
        <f>F43*CHOOSE($C$39,INPUTS!$D$19,INPUTS!$D$20)</f>
        <v>49600</v>
      </c>
    </row>
    <row r="44" spans="2:14" ht="18.600000000000001" thickTop="1" thickBot="1" x14ac:dyDescent="0.35">
      <c r="B44" s="2" t="s">
        <v>18</v>
      </c>
      <c r="C44" s="16">
        <v>0</v>
      </c>
      <c r="D44" s="16">
        <v>1</v>
      </c>
      <c r="E44" s="16">
        <v>1600</v>
      </c>
      <c r="F44" s="16">
        <f t="shared" si="9"/>
        <v>1600</v>
      </c>
      <c r="G44" s="6">
        <f>F44*CHOOSE($C$39,INPUTS!$D$19,INPUTS!$D$20)</f>
        <v>49600</v>
      </c>
    </row>
    <row r="45" spans="2:14" ht="24" thickTop="1" thickBot="1" x14ac:dyDescent="0.35">
      <c r="B45" s="6" t="s">
        <v>13</v>
      </c>
      <c r="C45" s="6">
        <f>SUM(C42:C44)</f>
        <v>0</v>
      </c>
      <c r="D45" s="6">
        <f>SUM(D42:D44)</f>
        <v>3</v>
      </c>
      <c r="E45" s="6">
        <f>E42</f>
        <v>1600</v>
      </c>
      <c r="F45" s="6">
        <f>SUM(F42:F44)</f>
        <v>4800</v>
      </c>
      <c r="G45" s="173">
        <f>SUM(G42:G44)</f>
        <v>148800</v>
      </c>
    </row>
    <row r="46" spans="2:14" ht="18" thickTop="1" x14ac:dyDescent="0.3">
      <c r="F46" s="1">
        <f>F45*31</f>
        <v>148800</v>
      </c>
    </row>
    <row r="48" spans="2:14" ht="23.4" thickBot="1" x14ac:dyDescent="0.35">
      <c r="B48" s="5" t="s">
        <v>291</v>
      </c>
    </row>
    <row r="50" spans="2:30" ht="18" thickBot="1" x14ac:dyDescent="0.35">
      <c r="B50" s="6" t="s">
        <v>1</v>
      </c>
      <c r="C50" s="6" t="s">
        <v>19</v>
      </c>
      <c r="D50" s="6" t="s">
        <v>289</v>
      </c>
      <c r="E50" s="6" t="s">
        <v>98</v>
      </c>
      <c r="F50" s="6" t="s">
        <v>227</v>
      </c>
    </row>
    <row r="51" spans="2:30" ht="24" thickTop="1" thickBot="1" x14ac:dyDescent="0.35">
      <c r="B51" s="2" t="s">
        <v>292</v>
      </c>
      <c r="C51" s="16">
        <v>0</v>
      </c>
      <c r="D51" s="16">
        <v>50</v>
      </c>
      <c r="E51" s="8">
        <f>D51*C51</f>
        <v>0</v>
      </c>
      <c r="F51" s="6">
        <f>E51/C35</f>
        <v>0</v>
      </c>
    </row>
    <row r="52" spans="2:30" ht="18" thickTop="1" x14ac:dyDescent="0.3"/>
    <row r="54" spans="2:30" ht="23.4" thickBot="1" x14ac:dyDescent="0.35">
      <c r="B54" s="5" t="s">
        <v>99</v>
      </c>
    </row>
    <row r="56" spans="2:30" ht="18" thickBot="1" x14ac:dyDescent="0.35">
      <c r="B56" s="6" t="s">
        <v>1</v>
      </c>
      <c r="C56" s="6" t="s">
        <v>176</v>
      </c>
      <c r="D56" s="6" t="s">
        <v>97</v>
      </c>
      <c r="E56" s="6" t="s">
        <v>98</v>
      </c>
      <c r="F56" s="6" t="s">
        <v>227</v>
      </c>
    </row>
    <row r="57" spans="2:30" ht="24" thickTop="1" thickBot="1" x14ac:dyDescent="0.35">
      <c r="B57" s="2" t="s">
        <v>96</v>
      </c>
      <c r="C57" s="16">
        <v>0</v>
      </c>
      <c r="D57" s="16">
        <v>3000</v>
      </c>
      <c r="E57" s="8">
        <f>D57*C57</f>
        <v>0</v>
      </c>
      <c r="F57" s="6">
        <f>E57/C35</f>
        <v>0</v>
      </c>
    </row>
    <row r="58" spans="2:30" ht="18" thickTop="1" x14ac:dyDescent="0.3"/>
    <row r="60" spans="2:30" ht="23.4" thickBot="1" x14ac:dyDescent="0.35">
      <c r="B60" s="5" t="s">
        <v>170</v>
      </c>
    </row>
    <row r="61" spans="2:30" x14ac:dyDescent="0.3"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Y61" s="224"/>
      <c r="Z61" s="224"/>
      <c r="AA61" s="224"/>
      <c r="AB61" s="224"/>
      <c r="AC61" s="224"/>
      <c r="AD61" s="224"/>
    </row>
    <row r="62" spans="2:30" ht="35.4" thickBot="1" x14ac:dyDescent="0.35">
      <c r="B62" s="6" t="s">
        <v>1</v>
      </c>
      <c r="C62" s="6" t="s">
        <v>28</v>
      </c>
      <c r="D62" s="9" t="s">
        <v>84</v>
      </c>
      <c r="E62" s="6" t="s">
        <v>85</v>
      </c>
      <c r="F62" s="6" t="s">
        <v>74</v>
      </c>
      <c r="G62" s="6" t="s">
        <v>13</v>
      </c>
      <c r="H62" s="6" t="s">
        <v>165</v>
      </c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Y62" s="224"/>
      <c r="Z62" s="224"/>
      <c r="AA62" s="224"/>
      <c r="AB62" s="224"/>
      <c r="AC62" s="224"/>
      <c r="AD62" s="224"/>
    </row>
    <row r="63" spans="2:30" ht="18.600000000000001" thickTop="1" thickBot="1" x14ac:dyDescent="0.35">
      <c r="B63" s="190" t="s">
        <v>24</v>
      </c>
      <c r="C63" s="226">
        <v>850000</v>
      </c>
      <c r="D63" s="226">
        <v>36</v>
      </c>
      <c r="E63" s="226">
        <f>C63/D63</f>
        <v>23611.111111111109</v>
      </c>
      <c r="F63" s="226">
        <v>2</v>
      </c>
      <c r="G63" s="225">
        <f>F63*E63</f>
        <v>47222.222222222219</v>
      </c>
      <c r="H63" s="225">
        <f>IF(D63&gt;1,F63*C63,0)</f>
        <v>1700000</v>
      </c>
      <c r="L63" s="224"/>
      <c r="M63" s="224"/>
      <c r="N63" s="224"/>
      <c r="O63" s="224"/>
      <c r="P63" s="224">
        <v>1</v>
      </c>
      <c r="Q63" s="224"/>
      <c r="R63" s="224"/>
      <c r="S63" s="224"/>
      <c r="T63" s="224"/>
      <c r="U63" s="224"/>
      <c r="V63" s="224"/>
      <c r="W63" s="224"/>
      <c r="X63" s="224"/>
      <c r="Y63" s="224"/>
      <c r="Z63" s="224"/>
      <c r="AA63" s="224"/>
      <c r="AB63" s="224"/>
      <c r="AC63" s="224"/>
      <c r="AD63" s="224"/>
    </row>
    <row r="64" spans="2:30" ht="18.600000000000001" thickTop="1" thickBot="1" x14ac:dyDescent="0.35">
      <c r="B64" s="190" t="s">
        <v>355</v>
      </c>
      <c r="C64" s="226">
        <v>9700</v>
      </c>
      <c r="D64" s="226">
        <v>36</v>
      </c>
      <c r="E64" s="226">
        <f t="shared" ref="E64:E66" si="10">C64/D64</f>
        <v>269.44444444444446</v>
      </c>
      <c r="F64" s="226">
        <v>8</v>
      </c>
      <c r="G64" s="225">
        <f t="shared" ref="G64:G66" si="11">F64*E64</f>
        <v>2155.5555555555557</v>
      </c>
      <c r="H64" s="225">
        <f t="shared" ref="H64:H91" si="12">IF(D64&gt;1,F64*C64,0)</f>
        <v>77600</v>
      </c>
      <c r="L64" s="224"/>
      <c r="M64" s="224"/>
      <c r="N64" s="224"/>
      <c r="O64" s="224"/>
      <c r="P64" s="224">
        <v>12</v>
      </c>
      <c r="Q64" s="224"/>
      <c r="R64" s="224"/>
      <c r="S64" s="224"/>
      <c r="T64" s="224"/>
      <c r="U64" s="224"/>
      <c r="V64" s="224"/>
      <c r="W64" s="224"/>
      <c r="X64" s="224"/>
      <c r="Y64" s="224"/>
      <c r="Z64" s="224"/>
      <c r="AA64" s="224"/>
      <c r="AB64" s="224"/>
      <c r="AC64" s="224"/>
      <c r="AD64" s="224"/>
    </row>
    <row r="65" spans="2:30" ht="18.600000000000001" thickTop="1" thickBot="1" x14ac:dyDescent="0.35">
      <c r="B65" s="190" t="s">
        <v>354</v>
      </c>
      <c r="C65" s="226">
        <v>20800</v>
      </c>
      <c r="D65" s="226">
        <v>36</v>
      </c>
      <c r="E65" s="226">
        <f t="shared" si="10"/>
        <v>577.77777777777783</v>
      </c>
      <c r="F65" s="226">
        <v>4</v>
      </c>
      <c r="G65" s="225">
        <f t="shared" si="11"/>
        <v>2311.1111111111113</v>
      </c>
      <c r="H65" s="225">
        <f t="shared" si="12"/>
        <v>83200</v>
      </c>
      <c r="L65" s="224"/>
      <c r="M65" s="224"/>
      <c r="N65" s="224"/>
      <c r="O65" s="224"/>
      <c r="P65" s="224">
        <v>24</v>
      </c>
      <c r="Q65" s="224"/>
      <c r="R65" s="224"/>
      <c r="S65" s="224"/>
      <c r="T65" s="224"/>
      <c r="U65" s="224"/>
      <c r="V65" s="224"/>
      <c r="W65" s="224"/>
      <c r="X65" s="224"/>
      <c r="Y65" s="224"/>
      <c r="Z65" s="224"/>
      <c r="AA65" s="224"/>
      <c r="AB65" s="224"/>
      <c r="AC65" s="224"/>
      <c r="AD65" s="224"/>
    </row>
    <row r="66" spans="2:30" ht="18.600000000000001" thickTop="1" thickBot="1" x14ac:dyDescent="0.35">
      <c r="B66" s="190" t="s">
        <v>356</v>
      </c>
      <c r="C66" s="226">
        <v>4050</v>
      </c>
      <c r="D66" s="226">
        <v>36</v>
      </c>
      <c r="E66" s="226">
        <f t="shared" si="10"/>
        <v>112.5</v>
      </c>
      <c r="F66" s="226">
        <v>8</v>
      </c>
      <c r="G66" s="225">
        <f t="shared" si="11"/>
        <v>900</v>
      </c>
      <c r="H66" s="225">
        <f t="shared" si="12"/>
        <v>32400</v>
      </c>
      <c r="L66" s="224"/>
      <c r="M66" s="224"/>
      <c r="N66" s="224"/>
      <c r="O66" s="224"/>
      <c r="P66" s="224">
        <v>36</v>
      </c>
      <c r="Q66" s="224"/>
      <c r="R66" s="224"/>
      <c r="S66" s="224"/>
      <c r="T66" s="224"/>
      <c r="U66" s="224"/>
      <c r="V66" s="224"/>
      <c r="W66" s="224"/>
      <c r="X66" s="224"/>
      <c r="Y66" s="224"/>
      <c r="Z66" s="224"/>
      <c r="AA66" s="224"/>
      <c r="AB66" s="224"/>
      <c r="AC66" s="224"/>
      <c r="AD66" s="224"/>
    </row>
    <row r="67" spans="2:30" ht="18.600000000000001" thickTop="1" thickBot="1" x14ac:dyDescent="0.35">
      <c r="B67" s="190" t="s">
        <v>25</v>
      </c>
      <c r="C67" s="226">
        <v>170000</v>
      </c>
      <c r="D67" s="226">
        <v>36</v>
      </c>
      <c r="E67" s="226">
        <f t="shared" ref="E67:E91" si="13">C67/D67</f>
        <v>4722.2222222222226</v>
      </c>
      <c r="F67" s="226">
        <v>1</v>
      </c>
      <c r="G67" s="225">
        <f t="shared" ref="G67:G91" si="14">F67*E67</f>
        <v>4722.2222222222226</v>
      </c>
      <c r="H67" s="225">
        <f t="shared" si="12"/>
        <v>170000</v>
      </c>
      <c r="L67" s="224"/>
      <c r="M67" s="224"/>
      <c r="N67" s="224"/>
      <c r="O67" s="224"/>
      <c r="P67" s="224"/>
      <c r="Q67" s="224"/>
      <c r="R67" s="224"/>
      <c r="S67" s="224"/>
      <c r="T67" s="224"/>
      <c r="U67" s="224"/>
      <c r="V67" s="224"/>
      <c r="W67" s="224"/>
      <c r="X67" s="224"/>
      <c r="Y67" s="224"/>
      <c r="Z67" s="224"/>
      <c r="AA67" s="224"/>
      <c r="AB67" s="224"/>
      <c r="AC67" s="224"/>
      <c r="AD67" s="224"/>
    </row>
    <row r="68" spans="2:30" ht="18.600000000000001" thickTop="1" thickBot="1" x14ac:dyDescent="0.35">
      <c r="B68" s="190" t="s">
        <v>237</v>
      </c>
      <c r="C68" s="226">
        <v>90000</v>
      </c>
      <c r="D68" s="226">
        <v>24</v>
      </c>
      <c r="E68" s="226">
        <f t="shared" si="13"/>
        <v>3750</v>
      </c>
      <c r="F68" s="226">
        <v>0</v>
      </c>
      <c r="G68" s="225">
        <f t="shared" ref="G68" si="15">F68*E68</f>
        <v>0</v>
      </c>
      <c r="H68" s="225">
        <f t="shared" si="12"/>
        <v>0</v>
      </c>
      <c r="L68" s="224"/>
      <c r="M68" s="224"/>
      <c r="N68" s="224"/>
      <c r="O68" s="224"/>
      <c r="P68" s="224"/>
      <c r="Q68" s="224"/>
      <c r="R68" s="224"/>
      <c r="S68" s="224"/>
      <c r="T68" s="224"/>
      <c r="U68" s="224"/>
      <c r="V68" s="224"/>
      <c r="W68" s="224"/>
      <c r="X68" s="224"/>
      <c r="Y68" s="224"/>
      <c r="Z68" s="224"/>
      <c r="AA68" s="224"/>
      <c r="AB68" s="224"/>
      <c r="AC68" s="224"/>
      <c r="AD68" s="224"/>
    </row>
    <row r="69" spans="2:30" ht="18.600000000000001" thickTop="1" thickBot="1" x14ac:dyDescent="0.35">
      <c r="B69" s="190" t="s">
        <v>166</v>
      </c>
      <c r="C69" s="226">
        <v>130000</v>
      </c>
      <c r="D69" s="226">
        <v>24</v>
      </c>
      <c r="E69" s="226">
        <f t="shared" si="13"/>
        <v>5416.666666666667</v>
      </c>
      <c r="F69" s="226">
        <v>0</v>
      </c>
      <c r="G69" s="225">
        <f t="shared" si="14"/>
        <v>0</v>
      </c>
      <c r="H69" s="225">
        <f t="shared" si="12"/>
        <v>0</v>
      </c>
      <c r="L69" s="224"/>
      <c r="M69" s="224"/>
      <c r="N69" s="224"/>
      <c r="O69" s="224"/>
      <c r="P69" s="224"/>
      <c r="Q69" s="224"/>
      <c r="R69" s="224"/>
      <c r="S69" s="224"/>
      <c r="T69" s="224"/>
      <c r="U69" s="224"/>
      <c r="V69" s="224"/>
      <c r="W69" s="224"/>
      <c r="X69" s="224"/>
      <c r="Y69" s="224"/>
      <c r="Z69" s="224"/>
      <c r="AA69" s="224"/>
      <c r="AB69" s="224"/>
      <c r="AC69" s="224"/>
      <c r="AD69" s="224"/>
    </row>
    <row r="70" spans="2:30" ht="18.600000000000001" thickTop="1" thickBot="1" x14ac:dyDescent="0.35">
      <c r="B70" s="190" t="s">
        <v>259</v>
      </c>
      <c r="C70" s="226">
        <v>110000</v>
      </c>
      <c r="D70" s="226">
        <v>24</v>
      </c>
      <c r="E70" s="226">
        <f t="shared" si="13"/>
        <v>4583.333333333333</v>
      </c>
      <c r="F70" s="226">
        <v>0</v>
      </c>
      <c r="G70" s="225">
        <f t="shared" ref="G70" si="16">F70*E70</f>
        <v>0</v>
      </c>
      <c r="H70" s="225">
        <f t="shared" si="12"/>
        <v>0</v>
      </c>
      <c r="L70" s="224"/>
      <c r="M70" s="224"/>
      <c r="N70" s="224"/>
      <c r="O70" s="224"/>
      <c r="P70" s="224"/>
      <c r="Q70" s="224"/>
      <c r="R70" s="224"/>
      <c r="S70" s="224"/>
      <c r="T70" s="224"/>
      <c r="U70" s="224"/>
      <c r="V70" s="224"/>
      <c r="W70" s="224"/>
      <c r="X70" s="224"/>
      <c r="Y70" s="224"/>
      <c r="Z70" s="224"/>
      <c r="AA70" s="224"/>
      <c r="AB70" s="224"/>
      <c r="AC70" s="224"/>
      <c r="AD70" s="224"/>
    </row>
    <row r="71" spans="2:30" ht="18.600000000000001" thickTop="1" thickBot="1" x14ac:dyDescent="0.35">
      <c r="B71" s="190" t="s">
        <v>258</v>
      </c>
      <c r="C71" s="226">
        <f>41000*1.1</f>
        <v>45100.000000000007</v>
      </c>
      <c r="D71" s="226">
        <v>24</v>
      </c>
      <c r="E71" s="226">
        <f t="shared" si="13"/>
        <v>1879.166666666667</v>
      </c>
      <c r="F71" s="226">
        <v>0</v>
      </c>
      <c r="G71" s="225">
        <f t="shared" ref="G71" si="17">F71*E71</f>
        <v>0</v>
      </c>
      <c r="H71" s="225">
        <f t="shared" si="12"/>
        <v>0</v>
      </c>
      <c r="L71" s="224"/>
      <c r="M71" s="224"/>
      <c r="N71" s="224"/>
      <c r="O71" s="224"/>
      <c r="P71" s="224"/>
      <c r="Q71" s="224"/>
      <c r="R71" s="224"/>
      <c r="S71" s="224"/>
      <c r="T71" s="224"/>
      <c r="U71" s="224"/>
      <c r="V71" s="224"/>
      <c r="W71" s="224"/>
      <c r="X71" s="224"/>
      <c r="Y71" s="224"/>
      <c r="Z71" s="224"/>
      <c r="AA71" s="224"/>
      <c r="AB71" s="224"/>
      <c r="AC71" s="224"/>
      <c r="AD71" s="224"/>
    </row>
    <row r="72" spans="2:30" ht="18.600000000000001" thickTop="1" thickBot="1" x14ac:dyDescent="0.35">
      <c r="B72" s="190" t="s">
        <v>236</v>
      </c>
      <c r="C72" s="226">
        <v>60000</v>
      </c>
      <c r="D72" s="226">
        <v>24</v>
      </c>
      <c r="E72" s="226">
        <f t="shared" si="13"/>
        <v>2500</v>
      </c>
      <c r="F72" s="226">
        <v>0</v>
      </c>
      <c r="G72" s="225">
        <f t="shared" si="14"/>
        <v>0</v>
      </c>
      <c r="H72" s="225">
        <f t="shared" si="12"/>
        <v>0</v>
      </c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24"/>
      <c r="X72" s="224"/>
      <c r="Y72" s="224"/>
      <c r="Z72" s="224"/>
      <c r="AA72" s="224"/>
      <c r="AB72" s="224"/>
      <c r="AC72" s="224"/>
      <c r="AD72" s="224"/>
    </row>
    <row r="73" spans="2:30" ht="18.600000000000001" thickTop="1" thickBot="1" x14ac:dyDescent="0.35">
      <c r="B73" s="190" t="s">
        <v>258</v>
      </c>
      <c r="C73" s="226">
        <v>50500</v>
      </c>
      <c r="D73" s="226">
        <v>36</v>
      </c>
      <c r="E73" s="226">
        <f t="shared" si="13"/>
        <v>1402.7777777777778</v>
      </c>
      <c r="F73" s="226">
        <v>1</v>
      </c>
      <c r="G73" s="225">
        <f t="shared" si="14"/>
        <v>1402.7777777777778</v>
      </c>
      <c r="H73" s="225">
        <f t="shared" si="12"/>
        <v>50500</v>
      </c>
      <c r="L73" s="224"/>
      <c r="M73" s="224"/>
      <c r="N73" s="224"/>
      <c r="O73" s="224"/>
      <c r="P73" s="224"/>
      <c r="Q73" s="224"/>
      <c r="R73" s="224"/>
      <c r="S73" s="224"/>
      <c r="T73" s="224"/>
      <c r="U73" s="224"/>
      <c r="V73" s="224"/>
      <c r="W73" s="224"/>
      <c r="X73" s="224"/>
      <c r="Y73" s="224"/>
      <c r="Z73" s="224"/>
      <c r="AA73" s="224"/>
      <c r="AB73" s="224"/>
      <c r="AC73" s="224"/>
      <c r="AD73" s="224"/>
    </row>
    <row r="74" spans="2:30" ht="18.600000000000001" thickTop="1" thickBot="1" x14ac:dyDescent="0.35">
      <c r="B74" s="190" t="s">
        <v>201</v>
      </c>
      <c r="C74" s="226">
        <v>5000</v>
      </c>
      <c r="D74" s="226">
        <v>1</v>
      </c>
      <c r="E74" s="226">
        <f t="shared" si="13"/>
        <v>5000</v>
      </c>
      <c r="F74" s="226">
        <v>0</v>
      </c>
      <c r="G74" s="225">
        <f t="shared" si="14"/>
        <v>0</v>
      </c>
      <c r="H74" s="225">
        <f t="shared" si="12"/>
        <v>0</v>
      </c>
      <c r="L74" s="224"/>
      <c r="M74" s="224"/>
      <c r="N74" s="224"/>
      <c r="O74" s="224"/>
      <c r="P74" s="224"/>
      <c r="Q74" s="224"/>
      <c r="R74" s="224"/>
      <c r="S74" s="224"/>
      <c r="T74" s="224"/>
      <c r="U74" s="224"/>
      <c r="V74" s="224"/>
      <c r="W74" s="224"/>
      <c r="X74" s="224"/>
      <c r="Y74" s="224"/>
      <c r="Z74" s="224"/>
      <c r="AA74" s="224"/>
      <c r="AB74" s="224"/>
      <c r="AC74" s="224"/>
      <c r="AD74" s="224"/>
    </row>
    <row r="75" spans="2:30" ht="18.600000000000001" thickTop="1" thickBot="1" x14ac:dyDescent="0.35">
      <c r="B75" s="190" t="s">
        <v>168</v>
      </c>
      <c r="C75" s="226">
        <v>62500</v>
      </c>
      <c r="D75" s="226">
        <v>24</v>
      </c>
      <c r="E75" s="226">
        <f t="shared" si="13"/>
        <v>2604.1666666666665</v>
      </c>
      <c r="F75" s="226">
        <v>0</v>
      </c>
      <c r="G75" s="225">
        <f t="shared" si="14"/>
        <v>0</v>
      </c>
      <c r="H75" s="225">
        <f t="shared" si="12"/>
        <v>0</v>
      </c>
      <c r="L75" s="224"/>
      <c r="M75" s="224"/>
      <c r="N75" s="224"/>
      <c r="O75" s="224"/>
      <c r="P75" s="224"/>
      <c r="Q75" s="224"/>
      <c r="R75" s="224"/>
      <c r="S75" s="224"/>
      <c r="T75" s="224"/>
      <c r="U75" s="224"/>
      <c r="V75" s="224"/>
      <c r="W75" s="224"/>
      <c r="X75" s="224"/>
      <c r="Y75" s="224"/>
      <c r="Z75" s="224"/>
      <c r="AA75" s="224"/>
      <c r="AB75" s="224"/>
      <c r="AC75" s="224"/>
      <c r="AD75" s="224"/>
    </row>
    <row r="76" spans="2:30" ht="18.600000000000001" thickTop="1" thickBot="1" x14ac:dyDescent="0.35">
      <c r="B76" s="190" t="s">
        <v>169</v>
      </c>
      <c r="C76" s="226">
        <v>120000</v>
      </c>
      <c r="D76" s="226">
        <v>24</v>
      </c>
      <c r="E76" s="226">
        <f t="shared" si="13"/>
        <v>5000</v>
      </c>
      <c r="F76" s="226">
        <v>0</v>
      </c>
      <c r="G76" s="225">
        <f t="shared" si="14"/>
        <v>0</v>
      </c>
      <c r="H76" s="225">
        <f t="shared" si="12"/>
        <v>0</v>
      </c>
      <c r="L76" s="224"/>
      <c r="M76" s="224"/>
      <c r="N76" s="224"/>
      <c r="O76" s="224"/>
      <c r="P76" s="224"/>
      <c r="Q76" s="224"/>
      <c r="R76" s="224"/>
      <c r="S76" s="224"/>
      <c r="T76" s="224"/>
      <c r="U76" s="224"/>
      <c r="V76" s="224"/>
      <c r="W76" s="224"/>
      <c r="X76" s="224"/>
      <c r="Y76" s="224"/>
      <c r="Z76" s="224"/>
      <c r="AA76" s="224"/>
      <c r="AB76" s="224"/>
      <c r="AC76" s="224"/>
      <c r="AD76" s="224"/>
    </row>
    <row r="77" spans="2:30" ht="18.600000000000001" thickTop="1" thickBot="1" x14ac:dyDescent="0.35">
      <c r="B77" s="190" t="s">
        <v>174</v>
      </c>
      <c r="C77" s="226">
        <v>27000</v>
      </c>
      <c r="D77" s="226">
        <v>24</v>
      </c>
      <c r="E77" s="226">
        <f t="shared" si="13"/>
        <v>1125</v>
      </c>
      <c r="F77" s="226">
        <v>0</v>
      </c>
      <c r="G77" s="225">
        <f t="shared" si="14"/>
        <v>0</v>
      </c>
      <c r="H77" s="225">
        <f t="shared" si="12"/>
        <v>0</v>
      </c>
      <c r="L77" s="224"/>
      <c r="M77" s="224"/>
      <c r="N77" s="224"/>
      <c r="O77" s="224"/>
      <c r="P77" s="224"/>
      <c r="Q77" s="224"/>
      <c r="R77" s="224"/>
      <c r="S77" s="224"/>
      <c r="T77" s="224"/>
      <c r="U77" s="224"/>
      <c r="V77" s="224"/>
      <c r="W77" s="224"/>
      <c r="X77" s="224"/>
      <c r="Y77" s="224"/>
      <c r="Z77" s="224"/>
      <c r="AA77" s="224"/>
      <c r="AB77" s="224"/>
      <c r="AC77" s="224"/>
      <c r="AD77" s="224"/>
    </row>
    <row r="78" spans="2:30" ht="18.600000000000001" thickTop="1" thickBot="1" x14ac:dyDescent="0.35">
      <c r="B78" s="190" t="s">
        <v>202</v>
      </c>
      <c r="C78" s="226">
        <v>450000</v>
      </c>
      <c r="D78" s="226">
        <v>24</v>
      </c>
      <c r="E78" s="226">
        <f t="shared" si="13"/>
        <v>18750</v>
      </c>
      <c r="F78" s="226">
        <v>0</v>
      </c>
      <c r="G78" s="225">
        <f t="shared" si="14"/>
        <v>0</v>
      </c>
      <c r="H78" s="225">
        <f t="shared" si="12"/>
        <v>0</v>
      </c>
      <c r="L78" s="224"/>
      <c r="M78" s="224"/>
      <c r="N78" s="224"/>
      <c r="O78" s="224"/>
      <c r="P78" s="224"/>
      <c r="Q78" s="224"/>
      <c r="R78" s="224"/>
      <c r="S78" s="224"/>
      <c r="T78" s="224"/>
      <c r="U78" s="224"/>
      <c r="V78" s="224"/>
      <c r="W78" s="224"/>
      <c r="X78" s="224"/>
      <c r="Y78" s="224"/>
      <c r="Z78" s="224"/>
      <c r="AA78" s="224"/>
      <c r="AB78" s="224"/>
      <c r="AC78" s="224"/>
      <c r="AD78" s="224"/>
    </row>
    <row r="79" spans="2:30" ht="18.600000000000001" thickTop="1" thickBot="1" x14ac:dyDescent="0.35">
      <c r="B79" s="190" t="s">
        <v>167</v>
      </c>
      <c r="C79" s="226">
        <v>37000</v>
      </c>
      <c r="D79" s="226">
        <v>24</v>
      </c>
      <c r="E79" s="226">
        <f t="shared" si="13"/>
        <v>1541.6666666666667</v>
      </c>
      <c r="F79" s="226">
        <v>0</v>
      </c>
      <c r="G79" s="225">
        <f t="shared" si="14"/>
        <v>0</v>
      </c>
      <c r="H79" s="225">
        <f t="shared" si="12"/>
        <v>0</v>
      </c>
      <c r="L79" s="224"/>
      <c r="M79" s="224"/>
      <c r="N79" s="224"/>
      <c r="O79" s="224"/>
      <c r="P79" s="224"/>
      <c r="Q79" s="224"/>
      <c r="R79" s="224"/>
      <c r="S79" s="224"/>
      <c r="T79" s="224"/>
      <c r="U79" s="224"/>
      <c r="V79" s="224"/>
      <c r="W79" s="224"/>
      <c r="X79" s="224"/>
      <c r="Y79" s="224"/>
      <c r="Z79" s="224"/>
      <c r="AA79" s="224"/>
      <c r="AB79" s="224"/>
      <c r="AC79" s="224"/>
      <c r="AD79" s="224"/>
    </row>
    <row r="80" spans="2:30" ht="18.600000000000001" thickTop="1" thickBot="1" x14ac:dyDescent="0.35">
      <c r="B80" s="190" t="s">
        <v>175</v>
      </c>
      <c r="C80" s="226">
        <v>30500</v>
      </c>
      <c r="D80" s="226">
        <v>36</v>
      </c>
      <c r="E80" s="226">
        <f t="shared" si="13"/>
        <v>847.22222222222217</v>
      </c>
      <c r="F80" s="226">
        <v>1</v>
      </c>
      <c r="G80" s="225">
        <f t="shared" si="14"/>
        <v>847.22222222222217</v>
      </c>
      <c r="H80" s="225">
        <f t="shared" si="12"/>
        <v>30500</v>
      </c>
      <c r="L80" s="224"/>
      <c r="M80" s="224"/>
      <c r="N80" s="224"/>
      <c r="O80" s="224"/>
      <c r="P80" s="224"/>
      <c r="Q80" s="224"/>
      <c r="R80" s="224"/>
      <c r="S80" s="224"/>
      <c r="T80" s="224"/>
      <c r="U80" s="224"/>
      <c r="V80" s="224"/>
      <c r="W80" s="224"/>
      <c r="X80" s="224"/>
      <c r="Y80" s="224"/>
      <c r="Z80" s="224"/>
      <c r="AA80" s="224"/>
      <c r="AB80" s="224"/>
      <c r="AC80" s="224"/>
      <c r="AD80" s="224"/>
    </row>
    <row r="81" spans="2:30" ht="18.600000000000001" thickTop="1" thickBot="1" x14ac:dyDescent="0.35">
      <c r="B81" s="190" t="s">
        <v>26</v>
      </c>
      <c r="C81" s="226">
        <v>30000</v>
      </c>
      <c r="D81" s="226">
        <v>24</v>
      </c>
      <c r="E81" s="226">
        <f t="shared" si="13"/>
        <v>1250</v>
      </c>
      <c r="F81" s="226">
        <v>0</v>
      </c>
      <c r="G81" s="225">
        <f t="shared" si="14"/>
        <v>0</v>
      </c>
      <c r="H81" s="225">
        <f t="shared" si="12"/>
        <v>0</v>
      </c>
      <c r="L81" s="224"/>
      <c r="M81" s="224"/>
      <c r="N81" s="224"/>
      <c r="O81" s="224"/>
      <c r="P81" s="224"/>
      <c r="Q81" s="224"/>
      <c r="R81" s="224"/>
      <c r="S81" s="224"/>
      <c r="T81" s="224"/>
      <c r="U81" s="224"/>
      <c r="V81" s="224"/>
      <c r="W81" s="224"/>
      <c r="X81" s="224"/>
      <c r="Y81" s="224"/>
      <c r="Z81" s="224"/>
      <c r="AA81" s="224"/>
      <c r="AB81" s="224"/>
      <c r="AC81" s="224"/>
      <c r="AD81" s="224"/>
    </row>
    <row r="82" spans="2:30" ht="18.600000000000001" thickTop="1" thickBot="1" x14ac:dyDescent="0.35">
      <c r="B82" s="190" t="s">
        <v>260</v>
      </c>
      <c r="C82" s="226">
        <v>14250</v>
      </c>
      <c r="D82" s="226">
        <v>24</v>
      </c>
      <c r="E82" s="226">
        <f t="shared" si="13"/>
        <v>593.75</v>
      </c>
      <c r="F82" s="226">
        <v>0</v>
      </c>
      <c r="G82" s="225">
        <f t="shared" si="14"/>
        <v>0</v>
      </c>
      <c r="H82" s="225">
        <f t="shared" si="12"/>
        <v>0</v>
      </c>
      <c r="L82" s="224"/>
      <c r="M82" s="224"/>
      <c r="N82" s="224"/>
      <c r="O82" s="224"/>
      <c r="P82" s="224"/>
      <c r="Q82" s="224"/>
      <c r="R82" s="224"/>
      <c r="S82" s="224"/>
      <c r="T82" s="224"/>
      <c r="U82" s="224"/>
      <c r="V82" s="224"/>
      <c r="W82" s="224"/>
      <c r="X82" s="224"/>
      <c r="Y82" s="224"/>
      <c r="Z82" s="224"/>
      <c r="AA82" s="224"/>
      <c r="AB82" s="224"/>
      <c r="AC82" s="224"/>
      <c r="AD82" s="224"/>
    </row>
    <row r="83" spans="2:30" ht="18.600000000000001" thickTop="1" thickBot="1" x14ac:dyDescent="0.35">
      <c r="B83" s="190" t="s">
        <v>27</v>
      </c>
      <c r="C83" s="226">
        <v>6500</v>
      </c>
      <c r="D83" s="226">
        <v>36</v>
      </c>
      <c r="E83" s="226">
        <f t="shared" si="13"/>
        <v>180.55555555555554</v>
      </c>
      <c r="F83" s="226">
        <v>4</v>
      </c>
      <c r="G83" s="225">
        <f t="shared" si="14"/>
        <v>722.22222222222217</v>
      </c>
      <c r="H83" s="225">
        <f t="shared" si="12"/>
        <v>26000</v>
      </c>
      <c r="L83" s="224"/>
      <c r="M83" s="224"/>
      <c r="N83" s="224"/>
      <c r="O83" s="224"/>
      <c r="P83" s="224"/>
      <c r="Q83" s="224"/>
      <c r="R83" s="224"/>
      <c r="S83" s="224"/>
      <c r="T83" s="224"/>
      <c r="U83" s="224"/>
      <c r="V83" s="224"/>
      <c r="W83" s="224"/>
      <c r="X83" s="224"/>
      <c r="Y83" s="224"/>
      <c r="Z83" s="224"/>
      <c r="AA83" s="224"/>
      <c r="AB83" s="224"/>
      <c r="AC83" s="224"/>
      <c r="AD83" s="224"/>
    </row>
    <row r="84" spans="2:30" ht="18.600000000000001" thickTop="1" thickBot="1" x14ac:dyDescent="0.35">
      <c r="B84" s="190" t="s">
        <v>187</v>
      </c>
      <c r="C84" s="226">
        <v>4000</v>
      </c>
      <c r="D84" s="226">
        <v>24</v>
      </c>
      <c r="E84" s="226">
        <f t="shared" si="13"/>
        <v>166.66666666666666</v>
      </c>
      <c r="F84" s="226">
        <v>0</v>
      </c>
      <c r="G84" s="225">
        <f t="shared" si="14"/>
        <v>0</v>
      </c>
      <c r="H84" s="225">
        <f t="shared" si="12"/>
        <v>0</v>
      </c>
      <c r="L84" s="224"/>
      <c r="M84" s="224"/>
      <c r="N84" s="224"/>
      <c r="O84" s="224"/>
      <c r="P84" s="224"/>
      <c r="Q84" s="224"/>
      <c r="R84" s="224"/>
      <c r="S84" s="224"/>
      <c r="T84" s="224"/>
      <c r="U84" s="224"/>
      <c r="V84" s="224"/>
      <c r="W84" s="224"/>
      <c r="X84" s="224"/>
      <c r="Y84" s="224"/>
      <c r="Z84" s="224"/>
      <c r="AA84" s="224"/>
      <c r="AB84" s="224"/>
      <c r="AC84" s="224"/>
      <c r="AD84" s="224"/>
    </row>
    <row r="85" spans="2:30" ht="18.600000000000001" thickTop="1" thickBot="1" x14ac:dyDescent="0.35">
      <c r="B85" s="190" t="s">
        <v>265</v>
      </c>
      <c r="C85" s="226">
        <v>300</v>
      </c>
      <c r="D85" s="226">
        <v>12</v>
      </c>
      <c r="E85" s="226">
        <f t="shared" si="13"/>
        <v>25</v>
      </c>
      <c r="F85" s="226">
        <v>0</v>
      </c>
      <c r="G85" s="225">
        <f t="shared" si="14"/>
        <v>0</v>
      </c>
      <c r="H85" s="225">
        <f t="shared" si="12"/>
        <v>0</v>
      </c>
      <c r="L85" s="224"/>
      <c r="M85" s="224"/>
      <c r="N85" s="224"/>
      <c r="O85" s="224"/>
      <c r="P85" s="224"/>
      <c r="Q85" s="224"/>
      <c r="R85" s="224"/>
      <c r="S85" s="224"/>
      <c r="T85" s="224"/>
      <c r="U85" s="224"/>
      <c r="V85" s="224"/>
      <c r="W85" s="224"/>
      <c r="X85" s="224"/>
      <c r="Y85" s="224"/>
      <c r="Z85" s="224"/>
      <c r="AA85" s="224"/>
      <c r="AB85" s="224"/>
      <c r="AC85" s="224"/>
      <c r="AD85" s="224"/>
    </row>
    <row r="86" spans="2:30" ht="18.600000000000001" thickTop="1" thickBot="1" x14ac:dyDescent="0.35">
      <c r="B86" s="190" t="s">
        <v>294</v>
      </c>
      <c r="C86" s="226">
        <v>450</v>
      </c>
      <c r="D86" s="226">
        <v>12</v>
      </c>
      <c r="E86" s="226">
        <f t="shared" si="13"/>
        <v>37.5</v>
      </c>
      <c r="F86" s="226">
        <v>0</v>
      </c>
      <c r="G86" s="225">
        <f t="shared" ref="G86:G88" si="18">F86*E86</f>
        <v>0</v>
      </c>
      <c r="H86" s="225">
        <f t="shared" si="12"/>
        <v>0</v>
      </c>
      <c r="L86" s="224"/>
      <c r="M86" s="224"/>
      <c r="N86" s="224"/>
      <c r="O86" s="224"/>
      <c r="P86" s="224"/>
      <c r="Q86" s="224"/>
      <c r="R86" s="224"/>
      <c r="S86" s="224"/>
      <c r="T86" s="224"/>
      <c r="U86" s="224"/>
      <c r="V86" s="224"/>
      <c r="W86" s="224"/>
      <c r="X86" s="224"/>
      <c r="Y86" s="224"/>
      <c r="Z86" s="224"/>
      <c r="AA86" s="224"/>
      <c r="AB86" s="224"/>
      <c r="AC86" s="224"/>
      <c r="AD86" s="224"/>
    </row>
    <row r="87" spans="2:30" ht="18.600000000000001" thickTop="1" thickBot="1" x14ac:dyDescent="0.35">
      <c r="B87" s="190" t="s">
        <v>295</v>
      </c>
      <c r="C87" s="226">
        <v>1000</v>
      </c>
      <c r="D87" s="226">
        <v>12</v>
      </c>
      <c r="E87" s="226">
        <f t="shared" si="13"/>
        <v>83.333333333333329</v>
      </c>
      <c r="F87" s="226">
        <v>0</v>
      </c>
      <c r="G87" s="225">
        <f t="shared" si="18"/>
        <v>0</v>
      </c>
      <c r="H87" s="225">
        <f t="shared" si="12"/>
        <v>0</v>
      </c>
      <c r="L87" s="224"/>
      <c r="M87" s="224"/>
      <c r="N87" s="224"/>
      <c r="O87" s="224"/>
      <c r="P87" s="224"/>
      <c r="Q87" s="224"/>
      <c r="R87" s="224"/>
      <c r="S87" s="224"/>
      <c r="T87" s="224"/>
      <c r="U87" s="224"/>
      <c r="V87" s="224"/>
      <c r="W87" s="224"/>
      <c r="X87" s="224"/>
      <c r="Y87" s="224"/>
      <c r="Z87" s="224"/>
      <c r="AA87" s="224"/>
      <c r="AB87" s="224"/>
      <c r="AC87" s="224"/>
      <c r="AD87" s="224"/>
    </row>
    <row r="88" spans="2:30" ht="18.600000000000001" thickTop="1" thickBot="1" x14ac:dyDescent="0.35">
      <c r="B88" s="190" t="s">
        <v>296</v>
      </c>
      <c r="C88" s="226">
        <v>250</v>
      </c>
      <c r="D88" s="226">
        <v>12</v>
      </c>
      <c r="E88" s="226">
        <f t="shared" si="13"/>
        <v>20.833333333333332</v>
      </c>
      <c r="F88" s="226">
        <v>0</v>
      </c>
      <c r="G88" s="225">
        <f t="shared" si="18"/>
        <v>0</v>
      </c>
      <c r="H88" s="225">
        <f t="shared" si="12"/>
        <v>0</v>
      </c>
      <c r="L88" s="224"/>
      <c r="M88" s="224"/>
      <c r="N88" s="224"/>
      <c r="O88" s="224"/>
      <c r="P88" s="224"/>
      <c r="Q88" s="224"/>
      <c r="R88" s="224"/>
      <c r="S88" s="224"/>
      <c r="T88" s="224"/>
      <c r="U88" s="224"/>
      <c r="V88" s="224"/>
      <c r="W88" s="224"/>
      <c r="X88" s="224"/>
      <c r="Y88" s="224"/>
      <c r="Z88" s="224"/>
      <c r="AA88" s="224"/>
      <c r="AB88" s="224"/>
      <c r="AC88" s="224"/>
      <c r="AD88" s="224"/>
    </row>
    <row r="89" spans="2:30" ht="18.600000000000001" thickTop="1" thickBot="1" x14ac:dyDescent="0.35">
      <c r="B89" s="190" t="s">
        <v>188</v>
      </c>
      <c r="C89" s="226">
        <v>1500</v>
      </c>
      <c r="D89" s="226">
        <v>24</v>
      </c>
      <c r="E89" s="226">
        <f t="shared" si="13"/>
        <v>62.5</v>
      </c>
      <c r="F89" s="226">
        <v>0</v>
      </c>
      <c r="G89" s="225">
        <f t="shared" si="14"/>
        <v>0</v>
      </c>
      <c r="H89" s="225">
        <f t="shared" si="12"/>
        <v>0</v>
      </c>
      <c r="L89" s="224"/>
      <c r="M89" s="224"/>
      <c r="N89" s="224"/>
      <c r="O89" s="224"/>
      <c r="P89" s="224"/>
      <c r="Q89" s="224"/>
      <c r="R89" s="224"/>
      <c r="S89" s="224"/>
      <c r="T89" s="224"/>
      <c r="U89" s="224"/>
      <c r="V89" s="224"/>
      <c r="W89" s="224"/>
      <c r="X89" s="224"/>
      <c r="Y89" s="224"/>
      <c r="Z89" s="224"/>
      <c r="AA89" s="224"/>
      <c r="AB89" s="224"/>
      <c r="AC89" s="224"/>
      <c r="AD89" s="224"/>
    </row>
    <row r="90" spans="2:30" ht="18.600000000000001" thickTop="1" thickBot="1" x14ac:dyDescent="0.35">
      <c r="B90" s="190" t="s">
        <v>87</v>
      </c>
      <c r="C90" s="226">
        <v>6000</v>
      </c>
      <c r="D90" s="226">
        <v>24</v>
      </c>
      <c r="E90" s="226">
        <f t="shared" si="13"/>
        <v>250</v>
      </c>
      <c r="F90" s="226">
        <v>0</v>
      </c>
      <c r="G90" s="225">
        <f t="shared" si="14"/>
        <v>0</v>
      </c>
      <c r="H90" s="225">
        <f t="shared" si="12"/>
        <v>0</v>
      </c>
      <c r="L90" s="224"/>
      <c r="M90" s="224"/>
      <c r="N90" s="224"/>
      <c r="O90" s="224"/>
      <c r="P90" s="224"/>
      <c r="Q90" s="224"/>
      <c r="R90" s="224"/>
      <c r="S90" s="224"/>
      <c r="T90" s="224"/>
      <c r="U90" s="224"/>
      <c r="V90" s="224"/>
      <c r="W90" s="224"/>
      <c r="X90" s="224"/>
      <c r="Y90" s="224"/>
      <c r="Z90" s="224"/>
      <c r="AA90" s="224"/>
      <c r="AB90" s="224"/>
      <c r="AC90" s="224"/>
      <c r="AD90" s="224"/>
    </row>
    <row r="91" spans="2:30" ht="18.600000000000001" thickTop="1" thickBot="1" x14ac:dyDescent="0.35">
      <c r="B91" s="190" t="s">
        <v>88</v>
      </c>
      <c r="C91" s="226">
        <v>10000</v>
      </c>
      <c r="D91" s="226">
        <v>24</v>
      </c>
      <c r="E91" s="226">
        <f t="shared" si="13"/>
        <v>416.66666666666669</v>
      </c>
      <c r="F91" s="226">
        <v>0</v>
      </c>
      <c r="G91" s="225">
        <f t="shared" si="14"/>
        <v>0</v>
      </c>
      <c r="H91" s="225">
        <f t="shared" si="12"/>
        <v>0</v>
      </c>
      <c r="L91" s="224"/>
      <c r="M91" s="224"/>
      <c r="N91" s="224"/>
      <c r="O91" s="224"/>
      <c r="P91" s="224"/>
      <c r="Q91" s="224"/>
      <c r="R91" s="224"/>
      <c r="S91" s="224"/>
      <c r="T91" s="224"/>
      <c r="U91" s="224"/>
      <c r="V91" s="224"/>
      <c r="W91" s="224"/>
      <c r="X91" s="224"/>
      <c r="Y91" s="224"/>
      <c r="Z91" s="224"/>
      <c r="AA91" s="224"/>
      <c r="AB91" s="224"/>
      <c r="AC91" s="224"/>
      <c r="AD91" s="224"/>
    </row>
    <row r="92" spans="2:30" ht="24" thickTop="1" thickBot="1" x14ac:dyDescent="0.35">
      <c r="B92" s="278" t="s">
        <v>13</v>
      </c>
      <c r="C92" s="279"/>
      <c r="D92" s="279"/>
      <c r="E92" s="279"/>
      <c r="F92" s="280"/>
      <c r="G92" s="173">
        <f>SUM(G63:G91)</f>
        <v>60283.333333333328</v>
      </c>
      <c r="H92" s="173">
        <f>SUM(H63:H91)</f>
        <v>2170200</v>
      </c>
      <c r="L92" s="224"/>
      <c r="M92" s="224"/>
      <c r="N92" s="224"/>
      <c r="O92" s="224"/>
      <c r="P92" s="224"/>
      <c r="Q92" s="224"/>
      <c r="R92" s="224"/>
      <c r="S92" s="224"/>
      <c r="T92" s="224"/>
      <c r="U92" s="224"/>
      <c r="V92" s="224"/>
      <c r="W92" s="224"/>
      <c r="X92" s="224"/>
      <c r="Y92" s="224"/>
      <c r="Z92" s="224"/>
      <c r="AA92" s="224"/>
      <c r="AB92" s="224"/>
      <c r="AC92" s="224"/>
      <c r="AD92" s="224"/>
    </row>
    <row r="93" spans="2:30" ht="18" thickTop="1" x14ac:dyDescent="0.3">
      <c r="S93" s="224"/>
      <c r="T93" s="224"/>
      <c r="U93" s="224"/>
      <c r="V93" s="224"/>
      <c r="W93" s="224"/>
      <c r="X93" s="224"/>
      <c r="Y93" s="224"/>
      <c r="Z93" s="224"/>
      <c r="AA93" s="224"/>
      <c r="AB93" s="224"/>
      <c r="AC93" s="224"/>
      <c r="AD93" s="224"/>
    </row>
    <row r="94" spans="2:30" ht="23.4" thickBot="1" x14ac:dyDescent="0.35">
      <c r="B94" s="5" t="s">
        <v>29</v>
      </c>
      <c r="D94" s="114" t="s">
        <v>316</v>
      </c>
      <c r="S94" s="224"/>
      <c r="T94" s="224"/>
      <c r="U94" s="224"/>
      <c r="V94" s="224"/>
      <c r="W94" s="224"/>
      <c r="X94" s="224"/>
      <c r="Y94" s="224"/>
      <c r="Z94" s="224"/>
      <c r="AA94" s="224"/>
      <c r="AB94" s="224"/>
      <c r="AC94" s="224"/>
      <c r="AD94" s="224"/>
    </row>
    <row r="95" spans="2:30" ht="18" thickBot="1" x14ac:dyDescent="0.35">
      <c r="D95" s="221">
        <v>0.1</v>
      </c>
      <c r="S95" s="224"/>
      <c r="T95" s="224"/>
      <c r="U95" s="224"/>
      <c r="V95" s="224"/>
      <c r="W95" s="224"/>
      <c r="X95" s="224"/>
      <c r="Y95" s="224"/>
      <c r="Z95" s="224"/>
      <c r="AA95" s="224"/>
      <c r="AB95" s="224"/>
      <c r="AC95" s="224"/>
      <c r="AD95" s="224"/>
    </row>
    <row r="96" spans="2:30" ht="18.600000000000001" thickTop="1" thickBot="1" x14ac:dyDescent="0.35">
      <c r="B96" s="6" t="s">
        <v>1</v>
      </c>
      <c r="C96" s="9" t="s">
        <v>98</v>
      </c>
      <c r="D96" s="6" t="s">
        <v>385</v>
      </c>
      <c r="E96" s="6" t="s">
        <v>13</v>
      </c>
      <c r="F96" s="6" t="s">
        <v>339</v>
      </c>
      <c r="S96" s="224"/>
      <c r="T96" s="224"/>
      <c r="U96" s="224"/>
      <c r="V96" s="224"/>
      <c r="W96" s="224"/>
      <c r="X96" s="224"/>
      <c r="Y96" s="224"/>
      <c r="Z96" s="224"/>
      <c r="AA96" s="224"/>
      <c r="AB96" s="224"/>
      <c r="AC96" s="224"/>
      <c r="AD96" s="224"/>
    </row>
    <row r="97" spans="2:30" ht="24" thickTop="1" thickBot="1" x14ac:dyDescent="0.35">
      <c r="B97" s="5" t="s">
        <v>170</v>
      </c>
      <c r="C97" s="15">
        <f>H92</f>
        <v>2170200</v>
      </c>
      <c r="D97" s="15">
        <f>C97*$D$95</f>
        <v>217020</v>
      </c>
      <c r="E97" s="16">
        <f>D97</f>
        <v>217020</v>
      </c>
      <c r="F97" s="6">
        <f>E97/36</f>
        <v>6028.333333333333</v>
      </c>
      <c r="S97" s="224"/>
      <c r="T97" s="224"/>
      <c r="U97" s="224"/>
      <c r="V97" s="224"/>
      <c r="W97" s="224"/>
      <c r="X97" s="224"/>
      <c r="Y97" s="224"/>
      <c r="Z97" s="224"/>
      <c r="AA97" s="224"/>
      <c r="AB97" s="224"/>
      <c r="AC97" s="224"/>
      <c r="AD97" s="224"/>
    </row>
    <row r="98" spans="2:30" ht="24" thickTop="1" thickBot="1" x14ac:dyDescent="0.35">
      <c r="B98" s="6" t="s">
        <v>13</v>
      </c>
      <c r="C98" s="6">
        <f>C97</f>
        <v>2170200</v>
      </c>
      <c r="D98" s="6">
        <f>D97</f>
        <v>217020</v>
      </c>
      <c r="E98" s="6">
        <f>E97</f>
        <v>217020</v>
      </c>
      <c r="F98" s="173">
        <f>SUM(F97)</f>
        <v>6028.333333333333</v>
      </c>
      <c r="S98" s="224"/>
      <c r="T98" s="224"/>
      <c r="U98" s="224"/>
      <c r="V98" s="224"/>
      <c r="W98" s="224"/>
      <c r="X98" s="224"/>
      <c r="Y98" s="224"/>
      <c r="Z98" s="224"/>
      <c r="AA98" s="224"/>
      <c r="AB98" s="224"/>
      <c r="AC98" s="224"/>
      <c r="AD98" s="224"/>
    </row>
    <row r="99" spans="2:30" ht="18" thickTop="1" x14ac:dyDescent="0.3">
      <c r="S99" s="224"/>
      <c r="T99" s="224"/>
      <c r="U99" s="224"/>
      <c r="V99" s="224"/>
      <c r="W99" s="224"/>
      <c r="X99" s="224"/>
      <c r="Y99" s="224"/>
      <c r="Z99" s="224"/>
      <c r="AA99" s="224"/>
      <c r="AB99" s="224"/>
      <c r="AC99" s="224"/>
      <c r="AD99" s="224"/>
    </row>
    <row r="100" spans="2:30" x14ac:dyDescent="0.3">
      <c r="S100" s="224"/>
      <c r="T100" s="224"/>
      <c r="U100" s="224"/>
      <c r="V100" s="224"/>
      <c r="W100" s="224"/>
      <c r="X100" s="224"/>
      <c r="Y100" s="224"/>
      <c r="Z100" s="224"/>
      <c r="AA100" s="224"/>
      <c r="AB100" s="224"/>
      <c r="AC100" s="224"/>
      <c r="AD100" s="224"/>
    </row>
    <row r="101" spans="2:30" ht="23.4" thickBot="1" x14ac:dyDescent="0.35">
      <c r="B101" s="5" t="s">
        <v>30</v>
      </c>
      <c r="S101" s="224"/>
      <c r="T101" s="224"/>
      <c r="U101" s="224"/>
      <c r="V101" s="224"/>
      <c r="W101" s="224"/>
      <c r="X101" s="224"/>
      <c r="Y101" s="224"/>
      <c r="Z101" s="224"/>
      <c r="AA101" s="224"/>
      <c r="AB101" s="224"/>
      <c r="AC101" s="224"/>
      <c r="AD101" s="224"/>
    </row>
    <row r="102" spans="2:30" x14ac:dyDescent="0.3">
      <c r="S102" s="224"/>
      <c r="T102" s="224"/>
      <c r="U102" s="224"/>
      <c r="V102" s="224"/>
      <c r="W102" s="224"/>
      <c r="X102" s="224"/>
      <c r="Y102" s="224"/>
      <c r="Z102" s="224"/>
      <c r="AA102" s="224"/>
      <c r="AB102" s="224"/>
      <c r="AC102" s="224"/>
      <c r="AD102" s="224"/>
    </row>
    <row r="103" spans="2:30" ht="18" thickBot="1" x14ac:dyDescent="0.35">
      <c r="B103" s="6" t="s">
        <v>1</v>
      </c>
      <c r="C103" s="6" t="s">
        <v>54</v>
      </c>
      <c r="D103" s="6" t="s">
        <v>62</v>
      </c>
      <c r="E103" s="6" t="s">
        <v>63</v>
      </c>
      <c r="F103" s="6" t="s">
        <v>300</v>
      </c>
      <c r="G103" s="6" t="s">
        <v>13</v>
      </c>
      <c r="J103" s="89" t="s">
        <v>320</v>
      </c>
      <c r="S103" s="224"/>
      <c r="T103" s="224"/>
      <c r="U103" s="224"/>
      <c r="V103" s="224"/>
      <c r="W103" s="224"/>
      <c r="X103" s="224"/>
      <c r="Y103" s="224"/>
      <c r="Z103" s="224"/>
      <c r="AA103" s="224"/>
      <c r="AB103" s="224"/>
      <c r="AC103" s="224"/>
      <c r="AD103" s="224"/>
    </row>
    <row r="104" spans="2:30" ht="18.600000000000001" thickTop="1" thickBot="1" x14ac:dyDescent="0.35">
      <c r="B104" s="190" t="s">
        <v>31</v>
      </c>
      <c r="C104" s="35" t="s">
        <v>55</v>
      </c>
      <c r="D104" s="16">
        <v>80</v>
      </c>
      <c r="E104" s="16">
        <v>62</v>
      </c>
      <c r="F104" s="16">
        <f t="shared" ref="F104:F150" si="19">E104*(1+$K$110)</f>
        <v>73.625</v>
      </c>
      <c r="G104" s="7">
        <f>D104*F104</f>
        <v>5890</v>
      </c>
      <c r="H104" s="1" t="s">
        <v>263</v>
      </c>
      <c r="L104" s="117" t="s">
        <v>316</v>
      </c>
      <c r="S104" s="224"/>
      <c r="T104" s="224"/>
      <c r="U104" s="224"/>
      <c r="V104" s="224"/>
      <c r="W104" s="224"/>
      <c r="X104" s="224"/>
      <c r="Y104" s="224"/>
      <c r="Z104" s="224"/>
      <c r="AA104" s="224"/>
      <c r="AB104" s="224"/>
      <c r="AC104" s="224"/>
      <c r="AD104" s="224"/>
    </row>
    <row r="105" spans="2:30" ht="18.600000000000001" thickTop="1" thickBot="1" x14ac:dyDescent="0.35">
      <c r="B105" s="190" t="s">
        <v>193</v>
      </c>
      <c r="C105" s="35" t="s">
        <v>55</v>
      </c>
      <c r="D105" s="16"/>
      <c r="E105" s="16">
        <v>50</v>
      </c>
      <c r="F105" s="16">
        <f t="shared" si="19"/>
        <v>59.375</v>
      </c>
      <c r="G105" s="7">
        <f>D105*F105</f>
        <v>0</v>
      </c>
      <c r="J105" s="118" t="s">
        <v>297</v>
      </c>
      <c r="K105" s="118" t="s">
        <v>319</v>
      </c>
      <c r="L105" s="118" t="s">
        <v>298</v>
      </c>
      <c r="M105" s="118" t="s">
        <v>297</v>
      </c>
      <c r="S105" s="224"/>
      <c r="T105" s="224"/>
      <c r="U105" s="224"/>
      <c r="V105" s="224"/>
      <c r="W105" s="224"/>
      <c r="X105" s="224"/>
      <c r="Y105" s="224"/>
      <c r="Z105" s="224"/>
      <c r="AA105" s="224"/>
      <c r="AB105" s="224"/>
      <c r="AC105" s="224"/>
      <c r="AD105" s="224"/>
    </row>
    <row r="106" spans="2:30" ht="18.600000000000001" thickTop="1" thickBot="1" x14ac:dyDescent="0.35">
      <c r="B106" s="190" t="s">
        <v>32</v>
      </c>
      <c r="C106" s="36" t="s">
        <v>55</v>
      </c>
      <c r="D106" s="16">
        <v>2</v>
      </c>
      <c r="E106" s="16">
        <v>62</v>
      </c>
      <c r="F106" s="16">
        <f t="shared" si="19"/>
        <v>73.625</v>
      </c>
      <c r="G106" s="7">
        <f>D106*F106</f>
        <v>147.25</v>
      </c>
      <c r="H106" s="1" t="s">
        <v>264</v>
      </c>
      <c r="J106" s="6" t="s">
        <v>125</v>
      </c>
      <c r="K106" s="90">
        <f>(M106)*0.25</f>
        <v>1.8749999999999999E-2</v>
      </c>
      <c r="L106" s="90">
        <v>0.3</v>
      </c>
      <c r="M106" s="90">
        <f>L106/4</f>
        <v>7.4999999999999997E-2</v>
      </c>
    </row>
    <row r="107" spans="2:30" ht="18.600000000000001" thickTop="1" thickBot="1" x14ac:dyDescent="0.35">
      <c r="B107" s="190" t="s">
        <v>33</v>
      </c>
      <c r="C107" s="36" t="s">
        <v>56</v>
      </c>
      <c r="D107" s="16">
        <v>18</v>
      </c>
      <c r="E107" s="16">
        <v>270</v>
      </c>
      <c r="F107" s="16">
        <f t="shared" si="19"/>
        <v>320.625</v>
      </c>
      <c r="G107" s="7">
        <f>D107*F107/12</f>
        <v>480.9375</v>
      </c>
      <c r="H107" s="3" t="s">
        <v>83</v>
      </c>
      <c r="J107" s="6" t="s">
        <v>126</v>
      </c>
      <c r="K107" s="90">
        <f>(M106*2)*0.25</f>
        <v>3.7499999999999999E-2</v>
      </c>
    </row>
    <row r="108" spans="2:30" ht="18.600000000000001" thickTop="1" thickBot="1" x14ac:dyDescent="0.35">
      <c r="B108" s="190" t="s">
        <v>34</v>
      </c>
      <c r="C108" s="36" t="s">
        <v>57</v>
      </c>
      <c r="D108" s="16">
        <v>12</v>
      </c>
      <c r="E108" s="16">
        <v>60</v>
      </c>
      <c r="F108" s="16">
        <f t="shared" si="19"/>
        <v>71.25</v>
      </c>
      <c r="G108" s="7">
        <f t="shared" ref="G108:G148" si="20">D108*F108</f>
        <v>855</v>
      </c>
      <c r="J108" s="6" t="s">
        <v>127</v>
      </c>
      <c r="K108" s="90">
        <f>(M106*3)*0.25</f>
        <v>5.6249999999999994E-2</v>
      </c>
    </row>
    <row r="109" spans="2:30" ht="18.600000000000001" thickTop="1" thickBot="1" x14ac:dyDescent="0.35">
      <c r="B109" s="190" t="s">
        <v>35</v>
      </c>
      <c r="C109" s="36" t="s">
        <v>57</v>
      </c>
      <c r="D109" s="16">
        <v>12</v>
      </c>
      <c r="E109" s="16">
        <v>42</v>
      </c>
      <c r="F109" s="16">
        <f t="shared" si="19"/>
        <v>49.875</v>
      </c>
      <c r="G109" s="7">
        <f t="shared" si="20"/>
        <v>598.5</v>
      </c>
      <c r="J109" s="6" t="s">
        <v>128</v>
      </c>
      <c r="K109" s="90">
        <f>(M106*4)*0.25</f>
        <v>7.4999999999999997E-2</v>
      </c>
    </row>
    <row r="110" spans="2:30" ht="18.600000000000001" thickTop="1" thickBot="1" x14ac:dyDescent="0.35">
      <c r="B110" s="190" t="s">
        <v>36</v>
      </c>
      <c r="C110" s="36" t="s">
        <v>57</v>
      </c>
      <c r="D110" s="16">
        <v>6</v>
      </c>
      <c r="E110" s="16">
        <v>24</v>
      </c>
      <c r="F110" s="16">
        <f t="shared" si="19"/>
        <v>28.5</v>
      </c>
      <c r="G110" s="7">
        <f t="shared" si="20"/>
        <v>171</v>
      </c>
      <c r="J110" s="6" t="s">
        <v>299</v>
      </c>
      <c r="K110" s="90">
        <f>SUM(K106:K109)</f>
        <v>0.1875</v>
      </c>
    </row>
    <row r="111" spans="2:30" ht="18.600000000000001" thickTop="1" thickBot="1" x14ac:dyDescent="0.35">
      <c r="B111" s="190" t="s">
        <v>37</v>
      </c>
      <c r="C111" s="36" t="s">
        <v>57</v>
      </c>
      <c r="D111" s="16">
        <v>0.5</v>
      </c>
      <c r="E111" s="16">
        <v>10</v>
      </c>
      <c r="F111" s="16">
        <f t="shared" si="19"/>
        <v>11.875</v>
      </c>
      <c r="G111" s="7">
        <f t="shared" si="20"/>
        <v>5.9375</v>
      </c>
    </row>
    <row r="112" spans="2:30" ht="18.600000000000001" thickTop="1" thickBot="1" x14ac:dyDescent="0.35">
      <c r="B112" s="190" t="s">
        <v>38</v>
      </c>
      <c r="C112" s="36" t="s">
        <v>58</v>
      </c>
      <c r="D112" s="16"/>
      <c r="E112" s="16">
        <v>155</v>
      </c>
      <c r="F112" s="16">
        <f t="shared" si="19"/>
        <v>184.0625</v>
      </c>
      <c r="G112" s="7">
        <f t="shared" si="20"/>
        <v>0</v>
      </c>
    </row>
    <row r="113" spans="2:7" ht="18.600000000000001" thickTop="1" thickBot="1" x14ac:dyDescent="0.35">
      <c r="B113" s="190" t="s">
        <v>39</v>
      </c>
      <c r="C113" s="36" t="s">
        <v>59</v>
      </c>
      <c r="D113" s="16">
        <v>4</v>
      </c>
      <c r="E113" s="16">
        <v>50</v>
      </c>
      <c r="F113" s="16">
        <f t="shared" si="19"/>
        <v>59.375</v>
      </c>
      <c r="G113" s="7">
        <f t="shared" si="20"/>
        <v>237.5</v>
      </c>
    </row>
    <row r="114" spans="2:7" ht="18.600000000000001" thickTop="1" thickBot="1" x14ac:dyDescent="0.35">
      <c r="B114" s="190" t="s">
        <v>245</v>
      </c>
      <c r="C114" s="36" t="s">
        <v>60</v>
      </c>
      <c r="D114" s="16"/>
      <c r="E114" s="16">
        <v>145</v>
      </c>
      <c r="F114" s="16">
        <f t="shared" si="19"/>
        <v>172.1875</v>
      </c>
      <c r="G114" s="7">
        <f t="shared" si="20"/>
        <v>0</v>
      </c>
    </row>
    <row r="115" spans="2:7" ht="18.600000000000001" thickTop="1" thickBot="1" x14ac:dyDescent="0.35">
      <c r="B115" s="190" t="s">
        <v>40</v>
      </c>
      <c r="C115" s="36" t="s">
        <v>59</v>
      </c>
      <c r="D115" s="16">
        <v>4</v>
      </c>
      <c r="E115" s="16">
        <v>36</v>
      </c>
      <c r="F115" s="16">
        <f t="shared" si="19"/>
        <v>42.75</v>
      </c>
      <c r="G115" s="7">
        <f t="shared" si="20"/>
        <v>171</v>
      </c>
    </row>
    <row r="116" spans="2:7" ht="18.600000000000001" thickTop="1" thickBot="1" x14ac:dyDescent="0.35">
      <c r="B116" s="190" t="s">
        <v>41</v>
      </c>
      <c r="C116" s="36" t="s">
        <v>59</v>
      </c>
      <c r="D116" s="16">
        <v>2</v>
      </c>
      <c r="E116" s="16">
        <v>42</v>
      </c>
      <c r="F116" s="16">
        <f t="shared" si="19"/>
        <v>49.875</v>
      </c>
      <c r="G116" s="7">
        <f t="shared" si="20"/>
        <v>99.75</v>
      </c>
    </row>
    <row r="117" spans="2:7" ht="18.600000000000001" thickTop="1" thickBot="1" x14ac:dyDescent="0.35">
      <c r="B117" s="190" t="s">
        <v>234</v>
      </c>
      <c r="C117" s="36" t="s">
        <v>59</v>
      </c>
      <c r="D117" s="16"/>
      <c r="E117" s="16">
        <v>190</v>
      </c>
      <c r="F117" s="16">
        <f t="shared" si="19"/>
        <v>225.625</v>
      </c>
      <c r="G117" s="7">
        <f t="shared" si="20"/>
        <v>0</v>
      </c>
    </row>
    <row r="118" spans="2:7" ht="18.600000000000001" thickTop="1" thickBot="1" x14ac:dyDescent="0.35">
      <c r="B118" s="190" t="s">
        <v>250</v>
      </c>
      <c r="C118" s="36" t="s">
        <v>60</v>
      </c>
      <c r="D118" s="16">
        <v>4</v>
      </c>
      <c r="E118" s="16">
        <v>60</v>
      </c>
      <c r="F118" s="16">
        <f t="shared" si="19"/>
        <v>71.25</v>
      </c>
      <c r="G118" s="7">
        <f t="shared" si="20"/>
        <v>285</v>
      </c>
    </row>
    <row r="119" spans="2:7" ht="18.600000000000001" thickTop="1" thickBot="1" x14ac:dyDescent="0.35">
      <c r="B119" s="190" t="s">
        <v>235</v>
      </c>
      <c r="C119" s="36" t="s">
        <v>60</v>
      </c>
      <c r="D119" s="16"/>
      <c r="E119" s="16">
        <v>220</v>
      </c>
      <c r="F119" s="16">
        <f t="shared" si="19"/>
        <v>261.25</v>
      </c>
      <c r="G119" s="7">
        <f t="shared" si="20"/>
        <v>0</v>
      </c>
    </row>
    <row r="120" spans="2:7" ht="18.600000000000001" thickTop="1" thickBot="1" x14ac:dyDescent="0.35">
      <c r="B120" s="190" t="s">
        <v>238</v>
      </c>
      <c r="C120" s="36" t="s">
        <v>61</v>
      </c>
      <c r="D120" s="16"/>
      <c r="E120" s="16">
        <v>31.25</v>
      </c>
      <c r="F120" s="16">
        <f t="shared" si="19"/>
        <v>37.109375</v>
      </c>
      <c r="G120" s="7">
        <f t="shared" si="20"/>
        <v>0</v>
      </c>
    </row>
    <row r="121" spans="2:7" ht="18.600000000000001" thickTop="1" thickBot="1" x14ac:dyDescent="0.35">
      <c r="B121" s="190" t="s">
        <v>190</v>
      </c>
      <c r="C121" s="36" t="s">
        <v>61</v>
      </c>
      <c r="D121" s="16">
        <v>4</v>
      </c>
      <c r="E121" s="16">
        <v>28</v>
      </c>
      <c r="F121" s="16">
        <f t="shared" si="19"/>
        <v>33.25</v>
      </c>
      <c r="G121" s="7">
        <f t="shared" si="20"/>
        <v>133</v>
      </c>
    </row>
    <row r="122" spans="2:7" ht="18.600000000000001" thickTop="1" thickBot="1" x14ac:dyDescent="0.35">
      <c r="B122" s="190" t="s">
        <v>191</v>
      </c>
      <c r="C122" s="36" t="s">
        <v>192</v>
      </c>
      <c r="D122" s="16">
        <v>4</v>
      </c>
      <c r="E122" s="16">
        <v>310</v>
      </c>
      <c r="F122" s="16">
        <f t="shared" si="19"/>
        <v>368.125</v>
      </c>
      <c r="G122" s="7">
        <f t="shared" si="20"/>
        <v>1472.5</v>
      </c>
    </row>
    <row r="123" spans="2:7" ht="18.600000000000001" thickTop="1" thickBot="1" x14ac:dyDescent="0.35">
      <c r="B123" s="190" t="s">
        <v>42</v>
      </c>
      <c r="C123" s="36" t="s">
        <v>57</v>
      </c>
      <c r="D123" s="16">
        <v>2</v>
      </c>
      <c r="E123" s="16">
        <v>200</v>
      </c>
      <c r="F123" s="16">
        <f t="shared" si="19"/>
        <v>237.5</v>
      </c>
      <c r="G123" s="7">
        <f t="shared" si="20"/>
        <v>475</v>
      </c>
    </row>
    <row r="124" spans="2:7" ht="18.600000000000001" thickTop="1" thickBot="1" x14ac:dyDescent="0.35">
      <c r="B124" s="190" t="s">
        <v>43</v>
      </c>
      <c r="C124" s="36" t="s">
        <v>57</v>
      </c>
      <c r="D124" s="16">
        <v>12</v>
      </c>
      <c r="E124" s="16">
        <v>27</v>
      </c>
      <c r="F124" s="16">
        <f t="shared" si="19"/>
        <v>32.0625</v>
      </c>
      <c r="G124" s="7">
        <f t="shared" si="20"/>
        <v>384.75</v>
      </c>
    </row>
    <row r="125" spans="2:7" ht="18.600000000000001" thickTop="1" thickBot="1" x14ac:dyDescent="0.35">
      <c r="B125" s="190" t="s">
        <v>44</v>
      </c>
      <c r="C125" s="36" t="s">
        <v>57</v>
      </c>
      <c r="D125" s="16">
        <v>12</v>
      </c>
      <c r="E125" s="16">
        <v>26</v>
      </c>
      <c r="F125" s="16">
        <f t="shared" si="19"/>
        <v>30.875</v>
      </c>
      <c r="G125" s="7">
        <f t="shared" si="20"/>
        <v>370.5</v>
      </c>
    </row>
    <row r="126" spans="2:7" ht="18.600000000000001" thickTop="1" thickBot="1" x14ac:dyDescent="0.35">
      <c r="B126" s="190" t="s">
        <v>199</v>
      </c>
      <c r="C126" s="36" t="s">
        <v>200</v>
      </c>
      <c r="D126" s="16"/>
      <c r="E126" s="16">
        <v>350</v>
      </c>
      <c r="F126" s="16">
        <f t="shared" si="19"/>
        <v>415.625</v>
      </c>
      <c r="G126" s="7">
        <f>D126*F126/12</f>
        <v>0</v>
      </c>
    </row>
    <row r="127" spans="2:7" ht="18.600000000000001" thickTop="1" thickBot="1" x14ac:dyDescent="0.35">
      <c r="B127" s="190" t="s">
        <v>45</v>
      </c>
      <c r="C127" s="36" t="s">
        <v>57</v>
      </c>
      <c r="D127" s="16">
        <v>2</v>
      </c>
      <c r="E127" s="16">
        <v>29</v>
      </c>
      <c r="F127" s="16">
        <f t="shared" si="19"/>
        <v>34.4375</v>
      </c>
      <c r="G127" s="7">
        <f t="shared" si="20"/>
        <v>68.875</v>
      </c>
    </row>
    <row r="128" spans="2:7" ht="18.600000000000001" thickTop="1" thickBot="1" x14ac:dyDescent="0.35">
      <c r="B128" s="190" t="s">
        <v>195</v>
      </c>
      <c r="C128" s="36" t="s">
        <v>57</v>
      </c>
      <c r="D128" s="16"/>
      <c r="E128" s="16">
        <v>85</v>
      </c>
      <c r="F128" s="16">
        <f t="shared" si="19"/>
        <v>100.9375</v>
      </c>
      <c r="G128" s="7">
        <f t="shared" si="20"/>
        <v>0</v>
      </c>
    </row>
    <row r="129" spans="2:8" ht="18.600000000000001" thickTop="1" thickBot="1" x14ac:dyDescent="0.35">
      <c r="B129" s="190" t="s">
        <v>272</v>
      </c>
      <c r="C129" s="36" t="s">
        <v>57</v>
      </c>
      <c r="D129" s="16"/>
      <c r="E129" s="16">
        <v>202</v>
      </c>
      <c r="F129" s="16">
        <f t="shared" si="19"/>
        <v>239.875</v>
      </c>
      <c r="G129" s="7">
        <f t="shared" si="20"/>
        <v>0</v>
      </c>
    </row>
    <row r="130" spans="2:8" ht="18.600000000000001" thickTop="1" thickBot="1" x14ac:dyDescent="0.35">
      <c r="B130" s="190" t="s">
        <v>240</v>
      </c>
      <c r="C130" s="36" t="s">
        <v>57</v>
      </c>
      <c r="D130" s="16"/>
      <c r="E130" s="16">
        <v>75</v>
      </c>
      <c r="F130" s="16">
        <f t="shared" si="19"/>
        <v>89.0625</v>
      </c>
      <c r="G130" s="7">
        <f t="shared" si="20"/>
        <v>0</v>
      </c>
    </row>
    <row r="131" spans="2:8" ht="18.600000000000001" thickTop="1" thickBot="1" x14ac:dyDescent="0.35">
      <c r="B131" s="190" t="s">
        <v>194</v>
      </c>
      <c r="C131" s="36" t="s">
        <v>57</v>
      </c>
      <c r="D131" s="16"/>
      <c r="E131" s="16">
        <v>75</v>
      </c>
      <c r="F131" s="16">
        <f t="shared" si="19"/>
        <v>89.0625</v>
      </c>
      <c r="G131" s="7">
        <f>D131*F131/12</f>
        <v>0</v>
      </c>
    </row>
    <row r="132" spans="2:8" ht="18.600000000000001" thickTop="1" thickBot="1" x14ac:dyDescent="0.35">
      <c r="B132" s="190" t="s">
        <v>196</v>
      </c>
      <c r="C132" s="36" t="s">
        <v>56</v>
      </c>
      <c r="D132" s="16"/>
      <c r="E132" s="16">
        <v>60</v>
      </c>
      <c r="F132" s="16">
        <f t="shared" si="19"/>
        <v>71.25</v>
      </c>
      <c r="G132" s="7">
        <f t="shared" si="20"/>
        <v>0</v>
      </c>
    </row>
    <row r="133" spans="2:8" ht="18.600000000000001" thickTop="1" thickBot="1" x14ac:dyDescent="0.35">
      <c r="B133" s="190" t="s">
        <v>46</v>
      </c>
      <c r="C133" s="36" t="s">
        <v>56</v>
      </c>
      <c r="D133" s="16"/>
      <c r="E133" s="16">
        <v>130</v>
      </c>
      <c r="F133" s="16">
        <f t="shared" si="19"/>
        <v>154.375</v>
      </c>
      <c r="G133" s="7">
        <f t="shared" si="20"/>
        <v>0</v>
      </c>
    </row>
    <row r="134" spans="2:8" ht="18.600000000000001" thickTop="1" thickBot="1" x14ac:dyDescent="0.35">
      <c r="B134" s="190" t="s">
        <v>47</v>
      </c>
      <c r="C134" s="36" t="s">
        <v>57</v>
      </c>
      <c r="D134" s="16"/>
      <c r="E134" s="16">
        <v>160</v>
      </c>
      <c r="F134" s="16">
        <f t="shared" si="19"/>
        <v>190</v>
      </c>
      <c r="G134" s="7">
        <f>D134*F134/12</f>
        <v>0</v>
      </c>
      <c r="H134" s="3" t="s">
        <v>83</v>
      </c>
    </row>
    <row r="135" spans="2:8" ht="18.600000000000001" thickTop="1" thickBot="1" x14ac:dyDescent="0.35">
      <c r="B135" s="190" t="s">
        <v>189</v>
      </c>
      <c r="C135" s="36" t="s">
        <v>57</v>
      </c>
      <c r="D135" s="16"/>
      <c r="E135" s="16">
        <v>440</v>
      </c>
      <c r="F135" s="16">
        <f t="shared" si="19"/>
        <v>522.5</v>
      </c>
      <c r="G135" s="7">
        <f>D135*F135/12</f>
        <v>0</v>
      </c>
      <c r="H135" s="3" t="s">
        <v>83</v>
      </c>
    </row>
    <row r="136" spans="2:8" ht="18.600000000000001" thickTop="1" thickBot="1" x14ac:dyDescent="0.35">
      <c r="B136" s="190" t="s">
        <v>48</v>
      </c>
      <c r="C136" s="36" t="s">
        <v>60</v>
      </c>
      <c r="D136" s="16">
        <v>160</v>
      </c>
      <c r="E136" s="16">
        <v>17.5</v>
      </c>
      <c r="F136" s="16">
        <f t="shared" si="19"/>
        <v>20.78125</v>
      </c>
      <c r="G136" s="7">
        <f t="shared" si="20"/>
        <v>3325</v>
      </c>
    </row>
    <row r="137" spans="2:8" ht="18.600000000000001" thickTop="1" thickBot="1" x14ac:dyDescent="0.35">
      <c r="B137" s="190" t="s">
        <v>248</v>
      </c>
      <c r="C137" s="36" t="s">
        <v>249</v>
      </c>
      <c r="D137" s="16"/>
      <c r="E137" s="16">
        <v>100</v>
      </c>
      <c r="F137" s="16">
        <f t="shared" si="19"/>
        <v>118.75</v>
      </c>
      <c r="G137" s="7">
        <f t="shared" si="20"/>
        <v>0</v>
      </c>
    </row>
    <row r="138" spans="2:8" ht="18.600000000000001" thickTop="1" thickBot="1" x14ac:dyDescent="0.35">
      <c r="B138" s="190" t="s">
        <v>261</v>
      </c>
      <c r="C138" s="36" t="s">
        <v>262</v>
      </c>
      <c r="D138" s="16"/>
      <c r="E138" s="16">
        <v>60</v>
      </c>
      <c r="F138" s="16">
        <f t="shared" si="19"/>
        <v>71.25</v>
      </c>
      <c r="G138" s="7">
        <f t="shared" si="20"/>
        <v>0</v>
      </c>
    </row>
    <row r="139" spans="2:8" ht="18.600000000000001" thickTop="1" thickBot="1" x14ac:dyDescent="0.35">
      <c r="B139" s="190" t="s">
        <v>49</v>
      </c>
      <c r="C139" s="36" t="s">
        <v>57</v>
      </c>
      <c r="D139" s="16">
        <v>12</v>
      </c>
      <c r="E139" s="16">
        <v>28</v>
      </c>
      <c r="F139" s="16">
        <f t="shared" si="19"/>
        <v>33.25</v>
      </c>
      <c r="G139" s="7">
        <f>D139*F139/12</f>
        <v>33.25</v>
      </c>
      <c r="H139" s="3" t="s">
        <v>83</v>
      </c>
    </row>
    <row r="140" spans="2:8" ht="18.600000000000001" thickTop="1" thickBot="1" x14ac:dyDescent="0.35">
      <c r="B140" s="190" t="s">
        <v>50</v>
      </c>
      <c r="C140" s="36" t="s">
        <v>57</v>
      </c>
      <c r="D140" s="16"/>
      <c r="E140" s="16">
        <v>22</v>
      </c>
      <c r="F140" s="16">
        <f t="shared" si="19"/>
        <v>26.125</v>
      </c>
      <c r="G140" s="7">
        <f>D140*F140/12</f>
        <v>0</v>
      </c>
      <c r="H140" s="3" t="s">
        <v>83</v>
      </c>
    </row>
    <row r="141" spans="2:8" ht="18.600000000000001" thickTop="1" thickBot="1" x14ac:dyDescent="0.35">
      <c r="B141" s="190" t="s">
        <v>340</v>
      </c>
      <c r="C141" s="36" t="s">
        <v>341</v>
      </c>
      <c r="D141" s="16">
        <v>1</v>
      </c>
      <c r="E141" s="16">
        <v>230</v>
      </c>
      <c r="F141" s="16">
        <f t="shared" si="19"/>
        <v>273.125</v>
      </c>
      <c r="G141" s="7">
        <f>D141*F141</f>
        <v>273.125</v>
      </c>
    </row>
    <row r="142" spans="2:8" ht="18.600000000000001" thickTop="1" thickBot="1" x14ac:dyDescent="0.35">
      <c r="B142" s="190" t="s">
        <v>51</v>
      </c>
      <c r="C142" s="36" t="s">
        <v>57</v>
      </c>
      <c r="D142" s="16"/>
      <c r="E142" s="16">
        <v>8</v>
      </c>
      <c r="F142" s="16">
        <f t="shared" si="19"/>
        <v>9.5</v>
      </c>
      <c r="G142" s="7">
        <f t="shared" si="20"/>
        <v>0</v>
      </c>
    </row>
    <row r="143" spans="2:8" ht="18.600000000000001" thickTop="1" thickBot="1" x14ac:dyDescent="0.35">
      <c r="B143" s="190" t="s">
        <v>239</v>
      </c>
      <c r="C143" s="36" t="s">
        <v>341</v>
      </c>
      <c r="D143" s="16">
        <v>1</v>
      </c>
      <c r="E143" s="16">
        <v>110</v>
      </c>
      <c r="F143" s="16">
        <f t="shared" si="19"/>
        <v>130.625</v>
      </c>
      <c r="G143" s="7">
        <f t="shared" si="20"/>
        <v>130.625</v>
      </c>
    </row>
    <row r="144" spans="2:8" ht="18.600000000000001" thickTop="1" thickBot="1" x14ac:dyDescent="0.35">
      <c r="B144" s="190" t="s">
        <v>52</v>
      </c>
      <c r="C144" s="36" t="s">
        <v>57</v>
      </c>
      <c r="D144" s="16"/>
      <c r="E144" s="16">
        <v>43</v>
      </c>
      <c r="F144" s="16">
        <f t="shared" si="19"/>
        <v>51.0625</v>
      </c>
      <c r="G144" s="7">
        <f>D144*F144/12</f>
        <v>0</v>
      </c>
      <c r="H144" s="3" t="s">
        <v>83</v>
      </c>
    </row>
    <row r="145" spans="2:9" ht="18.600000000000001" thickTop="1" thickBot="1" x14ac:dyDescent="0.35">
      <c r="B145" s="190" t="s">
        <v>198</v>
      </c>
      <c r="C145" s="36" t="s">
        <v>57</v>
      </c>
      <c r="D145" s="16"/>
      <c r="E145" s="16">
        <v>1500</v>
      </c>
      <c r="F145" s="16">
        <f t="shared" si="19"/>
        <v>1781.25</v>
      </c>
      <c r="G145" s="7">
        <f>D145*F145/12</f>
        <v>0</v>
      </c>
      <c r="H145" s="3" t="s">
        <v>83</v>
      </c>
    </row>
    <row r="146" spans="2:9" ht="18.600000000000001" thickTop="1" thickBot="1" x14ac:dyDescent="0.35">
      <c r="B146" s="190" t="s">
        <v>241</v>
      </c>
      <c r="C146" s="36" t="s">
        <v>57</v>
      </c>
      <c r="D146" s="16"/>
      <c r="E146" s="16">
        <v>150</v>
      </c>
      <c r="F146" s="16">
        <f t="shared" si="19"/>
        <v>178.125</v>
      </c>
      <c r="G146" s="7">
        <f>D146*F146/12</f>
        <v>0</v>
      </c>
      <c r="H146" s="3" t="s">
        <v>83</v>
      </c>
    </row>
    <row r="147" spans="2:9" ht="18.600000000000001" thickTop="1" thickBot="1" x14ac:dyDescent="0.35">
      <c r="B147" s="190" t="s">
        <v>242</v>
      </c>
      <c r="C147" s="36" t="s">
        <v>57</v>
      </c>
      <c r="D147" s="16"/>
      <c r="E147" s="16">
        <v>15</v>
      </c>
      <c r="F147" s="16">
        <f t="shared" si="19"/>
        <v>17.8125</v>
      </c>
      <c r="G147" s="7">
        <f>D147*F147</f>
        <v>0</v>
      </c>
      <c r="H147" s="3"/>
    </row>
    <row r="148" spans="2:9" ht="18.600000000000001" thickTop="1" thickBot="1" x14ac:dyDescent="0.35">
      <c r="B148" s="190" t="s">
        <v>53</v>
      </c>
      <c r="C148" s="36" t="s">
        <v>57</v>
      </c>
      <c r="D148" s="16">
        <v>24</v>
      </c>
      <c r="E148" s="16">
        <v>16</v>
      </c>
      <c r="F148" s="16">
        <f t="shared" si="19"/>
        <v>19</v>
      </c>
      <c r="G148" s="7">
        <f t="shared" si="20"/>
        <v>456</v>
      </c>
    </row>
    <row r="149" spans="2:9" ht="18.600000000000001" thickTop="1" thickBot="1" x14ac:dyDescent="0.35">
      <c r="B149" s="190" t="s">
        <v>244</v>
      </c>
      <c r="C149" s="36" t="s">
        <v>57</v>
      </c>
      <c r="D149" s="16">
        <v>36</v>
      </c>
      <c r="E149" s="16">
        <v>95</v>
      </c>
      <c r="F149" s="16">
        <f t="shared" si="19"/>
        <v>112.8125</v>
      </c>
      <c r="G149" s="7">
        <f>D149*F149/12</f>
        <v>338.4375</v>
      </c>
      <c r="H149" s="3" t="s">
        <v>83</v>
      </c>
    </row>
    <row r="150" spans="2:9" ht="18.600000000000001" thickTop="1" thickBot="1" x14ac:dyDescent="0.35">
      <c r="B150" s="190" t="s">
        <v>64</v>
      </c>
      <c r="C150" s="36" t="s">
        <v>57</v>
      </c>
      <c r="D150" s="16">
        <v>3</v>
      </c>
      <c r="E150" s="16">
        <v>250</v>
      </c>
      <c r="F150" s="16">
        <f t="shared" si="19"/>
        <v>296.875</v>
      </c>
      <c r="G150" s="7">
        <f>D150*F150/12</f>
        <v>74.21875</v>
      </c>
      <c r="H150" s="3" t="s">
        <v>83</v>
      </c>
    </row>
    <row r="151" spans="2:9" ht="24" thickTop="1" thickBot="1" x14ac:dyDescent="0.35">
      <c r="B151" s="278" t="s">
        <v>8</v>
      </c>
      <c r="C151" s="279"/>
      <c r="D151" s="279"/>
      <c r="E151" s="279"/>
      <c r="F151" s="280"/>
      <c r="G151" s="173">
        <f>SUM(G104:G150)</f>
        <v>16477.15625</v>
      </c>
      <c r="H151" s="1">
        <f>G151/1.3</f>
        <v>12674.735576923076</v>
      </c>
    </row>
    <row r="152" spans="2:9" ht="22.2" thickTop="1" thickBot="1" x14ac:dyDescent="0.35">
      <c r="B152" s="281" t="s">
        <v>75</v>
      </c>
      <c r="C152" s="282"/>
      <c r="D152" s="282"/>
      <c r="E152" s="282"/>
      <c r="F152" s="283"/>
      <c r="G152" s="10">
        <v>0</v>
      </c>
    </row>
    <row r="153" spans="2:9" ht="24" thickTop="1" thickBot="1" x14ac:dyDescent="0.35">
      <c r="G153" s="173">
        <f>SUM(G151:G152)</f>
        <v>16477.15625</v>
      </c>
    </row>
    <row r="154" spans="2:9" ht="23.4" thickTop="1" x14ac:dyDescent="0.3">
      <c r="G154" s="116"/>
    </row>
    <row r="155" spans="2:9" ht="23.4" thickBot="1" x14ac:dyDescent="0.35">
      <c r="B155" s="5" t="s">
        <v>318</v>
      </c>
      <c r="G155" s="116"/>
    </row>
    <row r="156" spans="2:9" ht="23.4" thickBot="1" x14ac:dyDescent="0.35">
      <c r="G156" s="116"/>
    </row>
    <row r="157" spans="2:9" ht="18.600000000000001" thickTop="1" thickBot="1" x14ac:dyDescent="0.35">
      <c r="B157" s="122" t="s">
        <v>203</v>
      </c>
      <c r="C157" s="7" t="s">
        <v>54</v>
      </c>
      <c r="D157" s="7" t="s">
        <v>321</v>
      </c>
      <c r="E157" s="7" t="s">
        <v>209</v>
      </c>
      <c r="F157" s="7" t="s">
        <v>322</v>
      </c>
      <c r="G157" s="123" t="s">
        <v>222</v>
      </c>
    </row>
    <row r="158" spans="2:9" ht="18" thickTop="1" x14ac:dyDescent="0.3">
      <c r="B158" s="121" t="s">
        <v>204</v>
      </c>
      <c r="C158" s="121" t="s">
        <v>60</v>
      </c>
      <c r="D158" s="121">
        <v>0</v>
      </c>
      <c r="E158" s="121">
        <v>60</v>
      </c>
      <c r="F158" s="121">
        <f>E158*(1+$K$110)</f>
        <v>71.25</v>
      </c>
      <c r="G158" s="121">
        <f>F158*D158</f>
        <v>0</v>
      </c>
    </row>
    <row r="159" spans="2:9" x14ac:dyDescent="0.3">
      <c r="B159" s="16" t="s">
        <v>205</v>
      </c>
      <c r="C159" s="16" t="s">
        <v>60</v>
      </c>
      <c r="D159" s="16">
        <v>0</v>
      </c>
      <c r="E159" s="16">
        <v>100</v>
      </c>
      <c r="F159" s="16">
        <f t="shared" ref="F159:F163" si="21">E159*(1+$K$110)</f>
        <v>118.75</v>
      </c>
      <c r="G159" s="16">
        <f t="shared" ref="G159:G163" si="22">F159*D159</f>
        <v>0</v>
      </c>
      <c r="H159" s="1" t="s">
        <v>210</v>
      </c>
      <c r="I159" s="1" t="s">
        <v>247</v>
      </c>
    </row>
    <row r="160" spans="2:9" x14ac:dyDescent="0.3">
      <c r="B160" s="16" t="s">
        <v>257</v>
      </c>
      <c r="C160" s="16" t="s">
        <v>246</v>
      </c>
      <c r="D160" s="16">
        <v>0</v>
      </c>
      <c r="E160" s="16">
        <v>24</v>
      </c>
      <c r="F160" s="16">
        <f t="shared" si="21"/>
        <v>28.5</v>
      </c>
      <c r="G160" s="16">
        <f t="shared" si="22"/>
        <v>0</v>
      </c>
    </row>
    <row r="161" spans="2:7" x14ac:dyDescent="0.3">
      <c r="B161" s="16" t="s">
        <v>206</v>
      </c>
      <c r="C161" s="16" t="s">
        <v>60</v>
      </c>
      <c r="D161" s="16">
        <v>0</v>
      </c>
      <c r="E161" s="16">
        <v>95</v>
      </c>
      <c r="F161" s="16">
        <f t="shared" si="21"/>
        <v>112.8125</v>
      </c>
      <c r="G161" s="16">
        <f t="shared" si="22"/>
        <v>0</v>
      </c>
    </row>
    <row r="162" spans="2:7" x14ac:dyDescent="0.3">
      <c r="B162" s="16" t="s">
        <v>207</v>
      </c>
      <c r="C162" s="16" t="s">
        <v>61</v>
      </c>
      <c r="D162" s="16">
        <v>0</v>
      </c>
      <c r="E162" s="16">
        <v>80</v>
      </c>
      <c r="F162" s="16">
        <f t="shared" si="21"/>
        <v>95</v>
      </c>
      <c r="G162" s="16">
        <f t="shared" si="22"/>
        <v>0</v>
      </c>
    </row>
    <row r="163" spans="2:7" ht="18" thickBot="1" x14ac:dyDescent="0.35">
      <c r="B163" s="16" t="s">
        <v>208</v>
      </c>
      <c r="C163" s="16" t="s">
        <v>57</v>
      </c>
      <c r="D163" s="16">
        <v>0</v>
      </c>
      <c r="E163" s="16">
        <v>0</v>
      </c>
      <c r="F163" s="16">
        <f t="shared" si="21"/>
        <v>0</v>
      </c>
      <c r="G163" s="15">
        <f t="shared" si="22"/>
        <v>0</v>
      </c>
    </row>
    <row r="164" spans="2:7" ht="18.600000000000001" thickTop="1" thickBot="1" x14ac:dyDescent="0.35">
      <c r="B164" s="91"/>
      <c r="C164" s="92" t="s">
        <v>13</v>
      </c>
      <c r="D164" s="92"/>
      <c r="E164" s="92"/>
      <c r="F164" s="92"/>
      <c r="G164" s="120">
        <f>SUM(G158:G163)</f>
        <v>0</v>
      </c>
    </row>
    <row r="165" spans="2:7" ht="24" thickTop="1" thickBot="1" x14ac:dyDescent="0.35">
      <c r="G165" s="116"/>
    </row>
    <row r="166" spans="2:7" ht="18.600000000000001" thickTop="1" thickBot="1" x14ac:dyDescent="0.35">
      <c r="B166" s="122" t="s">
        <v>203</v>
      </c>
      <c r="C166" s="7" t="s">
        <v>54</v>
      </c>
      <c r="D166" s="7" t="s">
        <v>321</v>
      </c>
      <c r="E166" s="7" t="s">
        <v>209</v>
      </c>
      <c r="F166" s="7" t="s">
        <v>322</v>
      </c>
      <c r="G166" s="123" t="s">
        <v>222</v>
      </c>
    </row>
    <row r="167" spans="2:7" ht="18" thickTop="1" x14ac:dyDescent="0.3">
      <c r="B167" s="16" t="s">
        <v>266</v>
      </c>
      <c r="C167" s="16" t="s">
        <v>267</v>
      </c>
      <c r="D167" s="16">
        <v>0</v>
      </c>
      <c r="E167" s="16">
        <v>100</v>
      </c>
      <c r="F167" s="16">
        <f>E167*(1+$K$110)</f>
        <v>118.75</v>
      </c>
      <c r="G167" s="16">
        <f>F167*D167</f>
        <v>0</v>
      </c>
    </row>
    <row r="168" spans="2:7" x14ac:dyDescent="0.3">
      <c r="B168" s="16" t="s">
        <v>268</v>
      </c>
      <c r="C168" s="16" t="s">
        <v>267</v>
      </c>
      <c r="D168" s="16">
        <v>0</v>
      </c>
      <c r="E168" s="16">
        <v>0</v>
      </c>
      <c r="F168" s="16">
        <f t="shared" ref="F168:F170" si="23">E168*(1+$K$110)</f>
        <v>0</v>
      </c>
      <c r="G168" s="16">
        <f t="shared" ref="G168:G170" si="24">F168*D168</f>
        <v>0</v>
      </c>
    </row>
    <row r="169" spans="2:7" x14ac:dyDescent="0.3">
      <c r="B169" s="16" t="s">
        <v>269</v>
      </c>
      <c r="C169" s="16" t="s">
        <v>270</v>
      </c>
      <c r="D169" s="16">
        <v>0</v>
      </c>
      <c r="E169" s="16">
        <v>0</v>
      </c>
      <c r="F169" s="16">
        <f t="shared" si="23"/>
        <v>0</v>
      </c>
      <c r="G169" s="16">
        <f t="shared" si="24"/>
        <v>0</v>
      </c>
    </row>
    <row r="170" spans="2:7" ht="18" thickBot="1" x14ac:dyDescent="0.35">
      <c r="B170" s="16" t="s">
        <v>271</v>
      </c>
      <c r="C170" s="16" t="s">
        <v>267</v>
      </c>
      <c r="D170" s="16">
        <v>0</v>
      </c>
      <c r="E170" s="16">
        <v>0</v>
      </c>
      <c r="F170" s="16">
        <f t="shared" si="23"/>
        <v>0</v>
      </c>
      <c r="G170" s="15">
        <f t="shared" si="24"/>
        <v>0</v>
      </c>
    </row>
    <row r="171" spans="2:7" ht="18.600000000000001" thickTop="1" thickBot="1" x14ac:dyDescent="0.35">
      <c r="B171" s="91"/>
      <c r="C171" s="92" t="s">
        <v>13</v>
      </c>
      <c r="D171" s="92"/>
      <c r="E171" s="92"/>
      <c r="F171" s="92"/>
      <c r="G171" s="120">
        <f>SUM(G167:G170)</f>
        <v>0</v>
      </c>
    </row>
    <row r="172" spans="2:7" ht="23.4" thickTop="1" x14ac:dyDescent="0.3">
      <c r="E172" s="13"/>
      <c r="F172" s="13"/>
      <c r="G172" s="116"/>
    </row>
    <row r="173" spans="2:7" ht="22.8" x14ac:dyDescent="0.3">
      <c r="G173" s="116"/>
    </row>
    <row r="174" spans="2:7" ht="23.4" thickBot="1" x14ac:dyDescent="0.35">
      <c r="B174" s="67" t="str">
        <f>"قائمة دخل مشروع"&amp;" " &amp;D2</f>
        <v>قائمة دخل مشروع ABC</v>
      </c>
      <c r="C174" s="67"/>
    </row>
    <row r="175" spans="2:7" ht="23.4" thickBot="1" x14ac:dyDescent="0.35">
      <c r="B175" s="4"/>
      <c r="C175" s="4"/>
      <c r="F175" s="63" t="s">
        <v>349</v>
      </c>
      <c r="G175" s="63" t="s">
        <v>350</v>
      </c>
    </row>
    <row r="176" spans="2:7" ht="24" thickTop="1" thickBot="1" x14ac:dyDescent="0.35">
      <c r="B176" s="6" t="s">
        <v>65</v>
      </c>
      <c r="C176" s="173">
        <v>930000</v>
      </c>
      <c r="D176" s="2" t="s">
        <v>82</v>
      </c>
      <c r="E176" s="6">
        <f>C176/C36</f>
        <v>22142.857142857141</v>
      </c>
      <c r="F176" s="171">
        <f>G176/C36</f>
        <v>19317.543866731325</v>
      </c>
      <c r="G176" s="172">
        <v>811336.8424027157</v>
      </c>
    </row>
    <row r="177" spans="2:13" ht="18.600000000000001" thickTop="1" thickBot="1" x14ac:dyDescent="0.35">
      <c r="B177" s="276" t="s">
        <v>70</v>
      </c>
      <c r="C177" s="277"/>
      <c r="D177" s="14"/>
      <c r="E177" s="13"/>
    </row>
    <row r="178" spans="2:13" ht="18.600000000000001" thickTop="1" thickBot="1" x14ac:dyDescent="0.35">
      <c r="B178" s="2" t="s">
        <v>0</v>
      </c>
      <c r="C178" s="7">
        <f>N36+E51</f>
        <v>515474.08951159526</v>
      </c>
      <c r="D178" s="46">
        <f>C178/$C$191</f>
        <v>0.65896838812025882</v>
      </c>
      <c r="E178" s="45" t="s">
        <v>197</v>
      </c>
      <c r="F178" s="14"/>
      <c r="G178" s="13"/>
      <c r="H178" s="13"/>
      <c r="I178" s="13"/>
      <c r="J178" s="13"/>
      <c r="K178" s="13"/>
      <c r="L178" s="13"/>
    </row>
    <row r="179" spans="2:13" ht="18.600000000000001" thickTop="1" thickBot="1" x14ac:dyDescent="0.35">
      <c r="B179" s="2" t="s">
        <v>213</v>
      </c>
      <c r="C179" s="7">
        <f>G45</f>
        <v>148800</v>
      </c>
      <c r="D179" s="46">
        <f t="shared" ref="D179:D185" si="25">C179/$C$191</f>
        <v>0.19022196876122294</v>
      </c>
      <c r="E179" s="163"/>
      <c r="G179" s="141" t="s">
        <v>330</v>
      </c>
      <c r="H179" s="13"/>
      <c r="I179" s="13"/>
      <c r="J179" s="13"/>
      <c r="K179" s="13"/>
      <c r="L179" s="13"/>
    </row>
    <row r="180" spans="2:13" ht="18.600000000000001" thickTop="1" thickBot="1" x14ac:dyDescent="0.35">
      <c r="B180" s="2" t="s">
        <v>101</v>
      </c>
      <c r="C180" s="7">
        <f>E57</f>
        <v>0</v>
      </c>
      <c r="D180" s="46">
        <f t="shared" si="25"/>
        <v>0</v>
      </c>
      <c r="H180" s="13"/>
      <c r="I180" s="13"/>
      <c r="J180" s="13"/>
      <c r="K180" s="13"/>
      <c r="L180" s="13"/>
    </row>
    <row r="181" spans="2:13" ht="18.600000000000001" thickTop="1" thickBot="1" x14ac:dyDescent="0.35">
      <c r="B181" s="2" t="s">
        <v>68</v>
      </c>
      <c r="C181" s="7">
        <f>G92-G74</f>
        <v>60283.333333333328</v>
      </c>
      <c r="D181" s="46">
        <f t="shared" si="25"/>
        <v>7.7064612568250812E-2</v>
      </c>
      <c r="E181" s="44"/>
      <c r="G181" s="144" t="s">
        <v>326</v>
      </c>
      <c r="H181" s="144">
        <v>815000</v>
      </c>
      <c r="I181" s="13"/>
      <c r="J181" s="13"/>
      <c r="K181" s="13"/>
      <c r="L181" s="13"/>
      <c r="M181" s="13"/>
    </row>
    <row r="182" spans="2:13" ht="18.600000000000001" thickTop="1" thickBot="1" x14ac:dyDescent="0.35">
      <c r="B182" s="2" t="s">
        <v>211</v>
      </c>
      <c r="C182" s="7">
        <f>G74</f>
        <v>0</v>
      </c>
      <c r="D182" s="46">
        <f t="shared" si="25"/>
        <v>0</v>
      </c>
      <c r="G182" s="144" t="s">
        <v>327</v>
      </c>
      <c r="H182" s="144">
        <v>778062.91242826195</v>
      </c>
      <c r="I182" s="38"/>
      <c r="J182" s="38"/>
      <c r="K182" s="38"/>
      <c r="L182" s="13"/>
    </row>
    <row r="183" spans="2:13" ht="18.600000000000001" thickTop="1" thickBot="1" x14ac:dyDescent="0.35">
      <c r="B183" s="2" t="s">
        <v>67</v>
      </c>
      <c r="C183" s="7">
        <f>F98</f>
        <v>6028.333333333333</v>
      </c>
      <c r="D183" s="65">
        <f t="shared" si="25"/>
        <v>7.7064612568250824E-3</v>
      </c>
      <c r="G183" s="140" t="s">
        <v>156</v>
      </c>
      <c r="H183" s="140">
        <f>(H181*20%)*(22.5%)</f>
        <v>36675</v>
      </c>
    </row>
    <row r="184" spans="2:13" ht="18.600000000000001" thickTop="1" thickBot="1" x14ac:dyDescent="0.35">
      <c r="B184" s="2" t="s">
        <v>69</v>
      </c>
      <c r="C184" s="7">
        <f>G151+G152</f>
        <v>16477.15625</v>
      </c>
      <c r="D184" s="46">
        <f t="shared" si="25"/>
        <v>2.1063959015196837E-2</v>
      </c>
      <c r="G184" s="144" t="s">
        <v>328</v>
      </c>
      <c r="H184" s="144">
        <f>H181-(H182+H183)</f>
        <v>262.08757173805498</v>
      </c>
    </row>
    <row r="185" spans="2:13" ht="22.2" thickTop="1" thickBot="1" x14ac:dyDescent="0.35">
      <c r="B185" s="6" t="s">
        <v>71</v>
      </c>
      <c r="C185" s="10">
        <f>SUM(C178:C184)</f>
        <v>747062.91242826195</v>
      </c>
      <c r="D185" s="46">
        <f t="shared" si="25"/>
        <v>0.95502538972175455</v>
      </c>
      <c r="G185" s="142" t="s">
        <v>329</v>
      </c>
      <c r="H185" s="143">
        <f>(H181-(H182+H183))/(H182+H183)</f>
        <v>3.2168328948498748E-4</v>
      </c>
    </row>
    <row r="186" spans="2:13" ht="24" thickTop="1" thickBot="1" x14ac:dyDescent="0.35">
      <c r="B186" s="6" t="s">
        <v>72</v>
      </c>
      <c r="C186" s="8">
        <f>C176-C185</f>
        <v>182937.08757173805</v>
      </c>
      <c r="D186" s="14"/>
    </row>
    <row r="187" spans="2:13" ht="23.4" thickTop="1" x14ac:dyDescent="0.3">
      <c r="B187" s="13"/>
      <c r="C187" s="116"/>
      <c r="D187" s="14"/>
    </row>
    <row r="188" spans="2:13" x14ac:dyDescent="0.3">
      <c r="B188" s="13"/>
      <c r="C188" s="249"/>
      <c r="D188" s="14"/>
    </row>
    <row r="189" spans="2:13" ht="18" thickBot="1" x14ac:dyDescent="0.35">
      <c r="C189" s="248">
        <v>2</v>
      </c>
      <c r="D189" s="14"/>
      <c r="F189" s="250"/>
      <c r="G189" s="250"/>
      <c r="H189" s="250"/>
      <c r="I189" s="250"/>
    </row>
    <row r="190" spans="2:13" ht="18.600000000000001" thickTop="1" thickBot="1" x14ac:dyDescent="0.35">
      <c r="B190" s="247" t="s">
        <v>137</v>
      </c>
      <c r="C190" s="7">
        <f>CHOOSE(C189,O.H2!H9,O.H1!F32)</f>
        <v>35181.120524535036</v>
      </c>
      <c r="D190" s="46">
        <f>C190/C191</f>
        <v>4.4974610278245446E-2</v>
      </c>
      <c r="E190" s="44"/>
      <c r="F190" s="250"/>
      <c r="G190" s="250"/>
      <c r="H190" s="250"/>
      <c r="I190" s="250"/>
    </row>
    <row r="191" spans="2:13" ht="22.2" thickTop="1" thickBot="1" x14ac:dyDescent="0.35">
      <c r="B191" s="6" t="s">
        <v>76</v>
      </c>
      <c r="C191" s="10">
        <f>C190+C185</f>
        <v>782244.03295279702</v>
      </c>
      <c r="D191" s="46">
        <f>C191/C191</f>
        <v>1</v>
      </c>
      <c r="F191" s="250"/>
      <c r="G191" s="250"/>
      <c r="H191" s="250"/>
      <c r="I191" s="250"/>
    </row>
    <row r="192" spans="2:13" ht="19.2" customHeight="1" thickTop="1" thickBot="1" x14ac:dyDescent="0.35">
      <c r="F192" s="250"/>
      <c r="G192" s="250"/>
      <c r="H192" s="250"/>
      <c r="I192" s="250"/>
    </row>
    <row r="193" spans="2:17" ht="24" thickTop="1" thickBot="1" x14ac:dyDescent="0.35">
      <c r="B193" s="11" t="s">
        <v>78</v>
      </c>
      <c r="C193" s="8">
        <f>C176-C191</f>
        <v>147755.96704720298</v>
      </c>
      <c r="F193" s="250"/>
      <c r="G193" s="250"/>
      <c r="H193" s="250"/>
      <c r="I193" s="250"/>
    </row>
    <row r="194" spans="2:17" ht="18.600000000000001" thickTop="1" thickBot="1" x14ac:dyDescent="0.35">
      <c r="F194" s="250"/>
      <c r="G194" s="250"/>
      <c r="H194" s="250"/>
      <c r="I194" s="250"/>
    </row>
    <row r="195" spans="2:17" ht="18.600000000000001" thickTop="1" thickBot="1" x14ac:dyDescent="0.35">
      <c r="B195" s="6" t="s">
        <v>243</v>
      </c>
      <c r="C195" s="7">
        <f>(C176*20%)*22.5%</f>
        <v>41850</v>
      </c>
      <c r="F195" s="250"/>
      <c r="G195" s="250"/>
      <c r="H195" s="250"/>
      <c r="I195" s="250"/>
    </row>
    <row r="196" spans="2:17" ht="18.600000000000001" thickTop="1" thickBot="1" x14ac:dyDescent="0.35">
      <c r="F196" s="250"/>
      <c r="G196" s="250"/>
      <c r="H196" s="250"/>
      <c r="I196" s="250"/>
    </row>
    <row r="197" spans="2:17" ht="24" thickTop="1" thickBot="1" x14ac:dyDescent="0.35">
      <c r="B197" s="11" t="s">
        <v>77</v>
      </c>
      <c r="C197" s="173">
        <f>C193-C195</f>
        <v>105905.96704720298</v>
      </c>
      <c r="F197" s="250"/>
      <c r="G197" s="250"/>
      <c r="H197" s="250"/>
      <c r="I197" s="250"/>
      <c r="Q197" s="93"/>
    </row>
    <row r="198" spans="2:17" ht="18.600000000000001" thickTop="1" thickBot="1" x14ac:dyDescent="0.35">
      <c r="Q198" s="93"/>
    </row>
    <row r="199" spans="2:17" ht="18.600000000000001" thickTop="1" thickBot="1" x14ac:dyDescent="0.35">
      <c r="B199" s="6" t="s">
        <v>140</v>
      </c>
      <c r="C199" s="174">
        <f>(C176-(C191))/(C191)</f>
        <v>0.18888730475764337</v>
      </c>
    </row>
    <row r="200" spans="2:17" ht="18.600000000000001" thickTop="1" thickBot="1" x14ac:dyDescent="0.35">
      <c r="B200" s="6" t="s">
        <v>301</v>
      </c>
      <c r="C200" s="12">
        <f>(C176-(C191+C195))/(C191+C195)</f>
        <v>0.12851199354973261</v>
      </c>
    </row>
    <row r="201" spans="2:17" ht="18.600000000000001" thickTop="1" thickBot="1" x14ac:dyDescent="0.35">
      <c r="B201" s="6" t="s">
        <v>394</v>
      </c>
      <c r="C201" s="12">
        <f>C193/C176</f>
        <v>0.15887738392172363</v>
      </c>
    </row>
    <row r="202" spans="2:17" ht="18.600000000000001" thickTop="1" thickBot="1" x14ac:dyDescent="0.35">
      <c r="B202" s="6" t="s">
        <v>342</v>
      </c>
      <c r="C202" s="174">
        <f>C197/C176</f>
        <v>0.11387738392172364</v>
      </c>
    </row>
    <row r="203" spans="2:17" ht="18" thickTop="1" x14ac:dyDescent="0.3"/>
    <row r="209" spans="6:6" x14ac:dyDescent="0.3">
      <c r="F209" s="44"/>
    </row>
  </sheetData>
  <sheetProtection algorithmName="SHA-512" hashValue="yd11fgc8SEr+bJuW8RXvot3R6a1uL14Hj2DpGKUbDiYmFWqiRMxLs1ZYolmqiKMoRue5OaScf3wRC+gSYeQBfQ==" saltValue="eMs9MQbpGPkVDOjAfK/rBQ==" spinCount="100000" sheet="1" objects="1" scenarios="1"/>
  <mergeCells count="4">
    <mergeCell ref="B177:C177"/>
    <mergeCell ref="B92:F92"/>
    <mergeCell ref="B151:F151"/>
    <mergeCell ref="B152:F152"/>
  </mergeCells>
  <conditionalFormatting sqref="B63:B91">
    <cfRule type="expression" dxfId="8" priority="4">
      <formula>$C63&lt;=$H63</formula>
    </cfRule>
    <cfRule type="cellIs" dxfId="7" priority="7" operator="equal">
      <formula>$H$63</formula>
    </cfRule>
  </conditionalFormatting>
  <conditionalFormatting sqref="B104:B150">
    <cfRule type="expression" dxfId="6" priority="1">
      <formula>$D104&gt;0</formula>
    </cfRule>
    <cfRule type="expression" dxfId="5" priority="2">
      <formula>$C104&lt;=$H104</formula>
    </cfRule>
    <cfRule type="cellIs" dxfId="4" priority="3" operator="equal">
      <formula>$H$63</formula>
    </cfRule>
  </conditionalFormatting>
  <conditionalFormatting sqref="L13">
    <cfRule type="iconSet" priority="11">
      <iconSet>
        <cfvo type="percent" val="0"/>
        <cfvo type="percent" val="33"/>
        <cfvo type="percent" val="67"/>
      </iconSet>
    </cfRule>
  </conditionalFormatting>
  <conditionalFormatting sqref="N37">
    <cfRule type="iconSet" priority="9">
      <iconSet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D63:D91" xr:uid="{6D1DA6C1-48F5-4BEA-92AD-D31DA43CC755}">
      <formula1>$P$63:$P$66</formula1>
    </dataValidation>
  </dataValidations>
  <pageMargins left="0.7" right="0.7" top="0.75" bottom="0.75" header="0.3" footer="0.3"/>
  <pageSetup scale="21" orientation="portrait" r:id="rId1"/>
  <rowBreaks count="1" manualBreakCount="1">
    <brk id="100" max="16383" man="1"/>
  </rowBreaks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0" id="{EA82E6E9-BD5F-4B09-90BE-44A7C84F5BE1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10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L13</xm:sqref>
        </x14:conditionalFormatting>
        <x14:conditionalFormatting xmlns:xm="http://schemas.microsoft.com/office/excel/2006/main">
          <x14:cfRule type="iconSet" priority="8" id="{7B1943F2-0806-4399-B830-C232C4B6781F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10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N37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D056930-0F73-4A57-8417-B4B30B92D67A}">
          <x14:formula1>
            <xm:f>INPUTS!$C$5:$C$6</xm:f>
          </x14:formula1>
          <xm:sqref>C6</xm:sqref>
        </x14:dataValidation>
        <x14:dataValidation type="list" allowBlank="1" showInputMessage="1" showErrorMessage="1" xr:uid="{3D0A709D-C851-428B-A2D7-5B86AE94E035}">
          <x14:formula1>
            <xm:f>INPUTS!$C$15:$C$17</xm:f>
          </x14:formula1>
          <xm:sqref>C30</xm:sqref>
        </x14:dataValidation>
        <x14:dataValidation type="list" allowBlank="1" showInputMessage="1" showErrorMessage="1" xr:uid="{4923C45C-422A-49EF-9F1D-E6310011E76F}">
          <x14:formula1>
            <xm:f>INPUTS!$C$9:$C$12</xm:f>
          </x14:formula1>
          <xm:sqref>F21</xm:sqref>
        </x14:dataValidation>
        <x14:dataValidation type="list" allowBlank="1" showInputMessage="1" showErrorMessage="1" xr:uid="{BEA75432-64CA-4821-95A2-0E6A256C6252}">
          <x14:formula1>
            <xm:f>INPUTS!$C$23:$C$24</xm:f>
          </x14:formula1>
          <xm:sqref>C189</xm:sqref>
        </x14:dataValidation>
        <x14:dataValidation type="list" allowBlank="1" showInputMessage="1" showErrorMessage="1" xr:uid="{C84B5EB5-73C2-45AB-B58D-B59188233D79}">
          <x14:formula1>
            <xm:f>INPUTS!$C$19:$C$20</xm:f>
          </x14:formula1>
          <xm:sqref>C39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7AF50-0193-4C7D-A687-AB9A9A45736E}">
  <sheetPr codeName="Sheet3"/>
  <dimension ref="B2:G31"/>
  <sheetViews>
    <sheetView showGridLines="0" rightToLeft="1" workbookViewId="0">
      <selection activeCell="E12" sqref="E12"/>
    </sheetView>
  </sheetViews>
  <sheetFormatPr defaultRowHeight="14.4" x14ac:dyDescent="0.3"/>
  <cols>
    <col min="2" max="2" width="31.5546875" bestFit="1" customWidth="1"/>
    <col min="3" max="3" width="13.5546875" bestFit="1" customWidth="1"/>
    <col min="4" max="4" width="11.77734375" bestFit="1" customWidth="1"/>
    <col min="5" max="5" width="16.109375" bestFit="1" customWidth="1"/>
    <col min="6" max="7" width="15.44140625" bestFit="1" customWidth="1"/>
  </cols>
  <sheetData>
    <row r="2" spans="2:7" ht="23.4" thickBot="1" x14ac:dyDescent="0.35">
      <c r="B2" s="168" t="s">
        <v>290</v>
      </c>
      <c r="C2" s="66" t="str">
        <f>'SCENARIO-1 '!D2</f>
        <v>ABC</v>
      </c>
      <c r="D2" s="66"/>
      <c r="E2" s="66"/>
    </row>
    <row r="3" spans="2:7" ht="15" thickTop="1" x14ac:dyDescent="0.3"/>
    <row r="4" spans="2:7" ht="23.4" thickBot="1" x14ac:dyDescent="0.35">
      <c r="B4" s="66" t="s">
        <v>304</v>
      </c>
    </row>
    <row r="5" spans="2:7" ht="15" thickTop="1" x14ac:dyDescent="0.3"/>
    <row r="6" spans="2:7" ht="18" thickBot="1" x14ac:dyDescent="0.35">
      <c r="B6" s="6" t="s">
        <v>1</v>
      </c>
      <c r="C6" s="6" t="s">
        <v>218</v>
      </c>
      <c r="D6" s="6" t="s">
        <v>230</v>
      </c>
      <c r="E6" s="6" t="s">
        <v>253</v>
      </c>
      <c r="F6" s="6" t="s">
        <v>254</v>
      </c>
      <c r="G6" s="6" t="s">
        <v>255</v>
      </c>
    </row>
    <row r="7" spans="2:7" ht="18.600000000000001" thickTop="1" thickBot="1" x14ac:dyDescent="0.35">
      <c r="B7" s="6" t="s">
        <v>91</v>
      </c>
      <c r="C7" s="6">
        <f>IFERROR('SCENARIO-1 '!N33/'SCENARIO-1 '!C33,0)</f>
        <v>18176.161278988056</v>
      </c>
      <c r="D7" s="6">
        <f>'B.E.P'!$C$34</f>
        <v>7348.0938914571834</v>
      </c>
      <c r="E7" s="6">
        <f>D7+C7</f>
        <v>25524.255170445242</v>
      </c>
      <c r="F7" s="6">
        <f>E7*(1+'SCENARIO-1 '!$C$200)</f>
        <v>28804.428086271229</v>
      </c>
      <c r="G7" s="6">
        <f>F7*'SCENARIO-1 '!C33</f>
        <v>28804.428086271229</v>
      </c>
    </row>
    <row r="8" spans="2:7" ht="18.600000000000001" thickTop="1" thickBot="1" x14ac:dyDescent="0.35">
      <c r="B8" s="6" t="s">
        <v>251</v>
      </c>
      <c r="C8" s="6">
        <f>IFERROR('SCENARIO-1 '!N34/'SCENARIO-1 '!C34,0)</f>
        <v>15886.960646521431</v>
      </c>
      <c r="D8" s="6">
        <f>'B.E.P'!$C$34</f>
        <v>7348.0938914571834</v>
      </c>
      <c r="E8" s="6">
        <f t="shared" ref="E8:E9" si="0">D8+C8</f>
        <v>23235.054537978613</v>
      </c>
      <c r="F8" s="6">
        <f>E8*(1+'SCENARIO-1 '!$C$200)</f>
        <v>26221.037716891005</v>
      </c>
      <c r="G8" s="6">
        <f>F8*'SCENARIO-1 '!C34</f>
        <v>131105.18858445503</v>
      </c>
    </row>
    <row r="9" spans="2:7" ht="18.600000000000001" thickTop="1" thickBot="1" x14ac:dyDescent="0.35">
      <c r="B9" s="6" t="s">
        <v>252</v>
      </c>
      <c r="C9" s="6">
        <f>IFERROR('SCENARIO-1 '!N35/'SCENARIO-1 '!C35+'SCENARIO-1 '!$F$51,0)</f>
        <v>11607.309027777779</v>
      </c>
      <c r="D9" s="6">
        <f>'B.E.P'!$C$34</f>
        <v>7348.0938914571834</v>
      </c>
      <c r="E9" s="6">
        <f t="shared" si="0"/>
        <v>18955.402919234963</v>
      </c>
      <c r="F9" s="6">
        <f>E9*(1+'SCENARIO-1 '!$C$200)</f>
        <v>21391.399536924266</v>
      </c>
      <c r="G9" s="6">
        <f>F9*'SCENARIO-1 '!C35</f>
        <v>770090.38332927355</v>
      </c>
    </row>
    <row r="10" spans="2:7" ht="18.600000000000001" thickTop="1" thickBot="1" x14ac:dyDescent="0.35">
      <c r="B10" s="284" t="s">
        <v>13</v>
      </c>
      <c r="C10" s="285"/>
      <c r="D10" s="285"/>
      <c r="E10" s="285"/>
      <c r="F10" s="286"/>
      <c r="G10" s="6">
        <f>SUMIF(G7:G9,"&gt;0")</f>
        <v>929999.99999999977</v>
      </c>
    </row>
    <row r="11" spans="2:7" ht="15" thickTop="1" x14ac:dyDescent="0.3"/>
    <row r="12" spans="2:7" ht="23.4" thickBot="1" x14ac:dyDescent="0.35">
      <c r="B12" s="66" t="s">
        <v>303</v>
      </c>
    </row>
    <row r="13" spans="2:7" ht="15" thickTop="1" x14ac:dyDescent="0.3"/>
    <row r="14" spans="2:7" ht="18" thickBot="1" x14ac:dyDescent="0.35">
      <c r="B14" s="6" t="s">
        <v>1</v>
      </c>
      <c r="C14" s="6" t="s">
        <v>218</v>
      </c>
      <c r="D14" s="86" t="s">
        <v>287</v>
      </c>
      <c r="E14" s="6" t="s">
        <v>254</v>
      </c>
      <c r="F14" s="6" t="s">
        <v>255</v>
      </c>
    </row>
    <row r="15" spans="2:7" ht="18.600000000000001" thickTop="1" thickBot="1" x14ac:dyDescent="0.35">
      <c r="B15" s="6" t="s">
        <v>91</v>
      </c>
      <c r="C15" s="6">
        <f>C7</f>
        <v>18176.161278988056</v>
      </c>
      <c r="D15" s="87">
        <f>D23</f>
        <v>1.1888873047576434</v>
      </c>
      <c r="E15" s="6">
        <f>C15*D15</f>
        <v>21609.407393816349</v>
      </c>
      <c r="F15" s="6">
        <f>E15*'SCENARIO-1 '!C33</f>
        <v>21609.407393816349</v>
      </c>
    </row>
    <row r="16" spans="2:7" ht="18.600000000000001" thickTop="1" thickBot="1" x14ac:dyDescent="0.35">
      <c r="B16" s="6" t="s">
        <v>251</v>
      </c>
      <c r="C16" s="6">
        <f>C8</f>
        <v>15886.960646521431</v>
      </c>
      <c r="D16" s="87">
        <f t="shared" ref="D16:D17" si="1">D24</f>
        <v>1.1888873047576434</v>
      </c>
      <c r="E16" s="6">
        <f t="shared" ref="E16:E17" si="2">C16*D16</f>
        <v>18887.805823833613</v>
      </c>
      <c r="F16" s="6">
        <f>E16*'SCENARIO-1 '!C34</f>
        <v>94439.029119168059</v>
      </c>
    </row>
    <row r="17" spans="2:7" ht="18.600000000000001" thickTop="1" thickBot="1" x14ac:dyDescent="0.35">
      <c r="B17" s="6" t="s">
        <v>252</v>
      </c>
      <c r="C17" s="6">
        <f>C9</f>
        <v>11607.309027777779</v>
      </c>
      <c r="D17" s="87">
        <f t="shared" si="1"/>
        <v>1.1888873047576434</v>
      </c>
      <c r="E17" s="6">
        <f t="shared" si="2"/>
        <v>13799.782345523785</v>
      </c>
      <c r="F17" s="6">
        <f>E17*'SCENARIO-1 '!C35</f>
        <v>496792.16443885624</v>
      </c>
    </row>
    <row r="18" spans="2:7" ht="18.600000000000001" thickTop="1" thickBot="1" x14ac:dyDescent="0.35">
      <c r="B18" s="287" t="s">
        <v>13</v>
      </c>
      <c r="C18" s="288"/>
      <c r="D18" s="288"/>
      <c r="E18" s="289"/>
      <c r="F18" s="6">
        <f>SUMIF(F15:F17,"&gt;0")</f>
        <v>612840.60095184064</v>
      </c>
      <c r="G18" s="147"/>
    </row>
    <row r="19" spans="2:7" ht="15" thickTop="1" x14ac:dyDescent="0.3"/>
    <row r="21" spans="2:7" ht="23.4" thickBot="1" x14ac:dyDescent="0.35">
      <c r="B21" s="66" t="s">
        <v>305</v>
      </c>
    </row>
    <row r="22" spans="2:7" ht="16.8" thickTop="1" thickBot="1" x14ac:dyDescent="0.35">
      <c r="D22" s="85" t="s">
        <v>287</v>
      </c>
      <c r="E22" s="88" t="s">
        <v>289</v>
      </c>
    </row>
    <row r="23" spans="2:7" ht="18.600000000000001" thickTop="1" thickBot="1" x14ac:dyDescent="0.35">
      <c r="B23" s="2" t="s">
        <v>0</v>
      </c>
      <c r="C23" s="7">
        <f>'SCENARIO-1 '!C178</f>
        <v>515474.08951159526</v>
      </c>
      <c r="D23" s="84">
        <f>1+'SCENARIO-1 '!$C$199</f>
        <v>1.1888873047576434</v>
      </c>
      <c r="E23" s="7">
        <f>C23*D23</f>
        <v>612840.60095184064</v>
      </c>
    </row>
    <row r="24" spans="2:7" ht="18.600000000000001" thickTop="1" thickBot="1" x14ac:dyDescent="0.35">
      <c r="B24" s="2" t="s">
        <v>213</v>
      </c>
      <c r="C24" s="7">
        <f>'SCENARIO-1 '!C179</f>
        <v>148800</v>
      </c>
      <c r="D24" s="84">
        <f>1+'SCENARIO-1 '!$C$199</f>
        <v>1.1888873047576434</v>
      </c>
      <c r="E24" s="7">
        <f t="shared" ref="E24:E29" si="3">C24*D24</f>
        <v>176906.43094793733</v>
      </c>
      <c r="F24" s="139">
        <f>SUM(E23:E24)</f>
        <v>789747.03189977794</v>
      </c>
    </row>
    <row r="25" spans="2:7" ht="18.600000000000001" thickTop="1" thickBot="1" x14ac:dyDescent="0.35">
      <c r="B25" s="2" t="s">
        <v>101</v>
      </c>
      <c r="C25" s="7">
        <f>'SCENARIO-1 '!C180</f>
        <v>0</v>
      </c>
      <c r="D25" s="84">
        <f>1+'SCENARIO-1 '!$C$199</f>
        <v>1.1888873047576434</v>
      </c>
      <c r="E25" s="7">
        <f t="shared" si="3"/>
        <v>0</v>
      </c>
    </row>
    <row r="26" spans="2:7" ht="18.600000000000001" thickTop="1" thickBot="1" x14ac:dyDescent="0.35">
      <c r="B26" s="2" t="s">
        <v>288</v>
      </c>
      <c r="C26" s="7">
        <f>'SCENARIO-1 '!C181+'SCENARIO-1 '!C183</f>
        <v>66311.666666666657</v>
      </c>
      <c r="D26" s="84">
        <f>1+'SCENARIO-1 '!$C$199</f>
        <v>1.1888873047576434</v>
      </c>
      <c r="E26" s="7">
        <f t="shared" si="3"/>
        <v>78837.098657320588</v>
      </c>
    </row>
    <row r="27" spans="2:7" ht="18.600000000000001" thickTop="1" thickBot="1" x14ac:dyDescent="0.35">
      <c r="B27" s="2" t="s">
        <v>211</v>
      </c>
      <c r="C27" s="7">
        <f>'SCENARIO-1 '!C182</f>
        <v>0</v>
      </c>
      <c r="D27" s="84">
        <f>1+'SCENARIO-1 '!$C$199</f>
        <v>1.1888873047576434</v>
      </c>
      <c r="E27" s="7">
        <f t="shared" si="3"/>
        <v>0</v>
      </c>
    </row>
    <row r="28" spans="2:7" ht="18.600000000000001" thickTop="1" thickBot="1" x14ac:dyDescent="0.35">
      <c r="B28" s="2" t="s">
        <v>69</v>
      </c>
      <c r="C28" s="7">
        <f>'SCENARIO-1 '!C184</f>
        <v>16477.15625</v>
      </c>
      <c r="D28" s="84">
        <f>1+'SCENARIO-1 '!$C$199</f>
        <v>1.1888873047576434</v>
      </c>
      <c r="E28" s="7">
        <f t="shared" si="3"/>
        <v>19589.48188413306</v>
      </c>
    </row>
    <row r="29" spans="2:7" ht="18.600000000000001" thickTop="1" thickBot="1" x14ac:dyDescent="0.35">
      <c r="B29" s="2" t="s">
        <v>137</v>
      </c>
      <c r="C29" s="7">
        <f>'SCENARIO-1 '!C190</f>
        <v>35181.120524535036</v>
      </c>
      <c r="D29" s="84">
        <f>1+'SCENARIO-1 '!$C$199</f>
        <v>1.1888873047576434</v>
      </c>
      <c r="E29" s="7">
        <f t="shared" si="3"/>
        <v>41826.387558768271</v>
      </c>
    </row>
    <row r="30" spans="2:7" ht="18.600000000000001" thickTop="1" thickBot="1" x14ac:dyDescent="0.35">
      <c r="B30" s="287" t="s">
        <v>13</v>
      </c>
      <c r="C30" s="288"/>
      <c r="D30" s="289"/>
      <c r="E30" s="7">
        <f>SUM(E23:E29)</f>
        <v>929999.99999999988</v>
      </c>
    </row>
    <row r="31" spans="2:7" ht="15" thickTop="1" x14ac:dyDescent="0.3"/>
  </sheetData>
  <sheetProtection algorithmName="SHA-512" hashValue="Vbb2Of8ce2fsPmHpyUUizbXy1rDTBOoPzt/dSpExPadMCnIBDSqGIJGC7hKxuiEpw5knd3aQCE4+uGp6KpAnLg==" saltValue="dJf1Eh0tL9vkvObZmY39mw==" spinCount="100000" sheet="1" objects="1" scenarios="1"/>
  <mergeCells count="3">
    <mergeCell ref="B10:F10"/>
    <mergeCell ref="B18:E18"/>
    <mergeCell ref="B30:D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A5CF6-A8C1-4E48-8BB8-F6024CA69F37}">
  <sheetPr codeName="Sheet4"/>
  <dimension ref="B2:F70"/>
  <sheetViews>
    <sheetView showGridLines="0" rightToLeft="1" workbookViewId="0">
      <selection activeCell="B48" sqref="B48:D70"/>
    </sheetView>
  </sheetViews>
  <sheetFormatPr defaultColWidth="8.5546875" defaultRowHeight="18.45" customHeight="1" x14ac:dyDescent="0.3"/>
  <cols>
    <col min="1" max="1" width="3.88671875" customWidth="1"/>
    <col min="2" max="2" width="28.77734375" bestFit="1" customWidth="1"/>
    <col min="3" max="3" width="16.44140625" bestFit="1" customWidth="1"/>
    <col min="4" max="4" width="24.33203125" bestFit="1" customWidth="1"/>
    <col min="5" max="5" width="15" bestFit="1" customWidth="1"/>
    <col min="6" max="6" width="14.5546875" bestFit="1" customWidth="1"/>
  </cols>
  <sheetData>
    <row r="2" spans="2:6" ht="18.45" customHeight="1" thickBot="1" x14ac:dyDescent="0.35">
      <c r="B2" s="1"/>
      <c r="C2" s="290" t="s">
        <v>102</v>
      </c>
      <c r="D2" s="290"/>
      <c r="E2" s="290"/>
      <c r="F2" s="290"/>
    </row>
    <row r="3" spans="2:6" ht="18.45" customHeight="1" thickTop="1" thickBot="1" x14ac:dyDescent="0.35">
      <c r="B3" s="1"/>
      <c r="C3" s="291" t="s">
        <v>103</v>
      </c>
      <c r="D3" s="292"/>
      <c r="E3" s="292"/>
      <c r="F3" s="292"/>
    </row>
    <row r="4" spans="2:6" ht="18.45" customHeight="1" thickBot="1" x14ac:dyDescent="0.35">
      <c r="B4" s="1"/>
      <c r="C4" s="291" t="s">
        <v>104</v>
      </c>
      <c r="D4" s="292"/>
      <c r="E4" s="292"/>
      <c r="F4" s="292"/>
    </row>
    <row r="5" spans="2:6" ht="18.45" customHeight="1" x14ac:dyDescent="0.3">
      <c r="B5" s="1"/>
      <c r="C5" s="1"/>
      <c r="D5" s="1"/>
      <c r="E5" s="1"/>
      <c r="F5" s="1"/>
    </row>
    <row r="6" spans="2:6" ht="18.45" customHeight="1" thickBot="1" x14ac:dyDescent="0.35">
      <c r="B6" s="40" t="s">
        <v>105</v>
      </c>
      <c r="C6" s="1"/>
      <c r="D6" s="1"/>
      <c r="E6" s="1"/>
      <c r="F6" s="1"/>
    </row>
    <row r="7" spans="2:6" ht="23.4" thickTop="1" x14ac:dyDescent="0.3">
      <c r="B7" s="39"/>
      <c r="C7" s="1"/>
      <c r="D7" s="1"/>
      <c r="E7" s="1"/>
      <c r="F7" s="1"/>
    </row>
    <row r="8" spans="2:6" ht="34.799999999999997" x14ac:dyDescent="0.3">
      <c r="B8" s="16" t="s">
        <v>106</v>
      </c>
      <c r="C8" s="16" t="s">
        <v>107</v>
      </c>
      <c r="D8" s="16" t="s">
        <v>108</v>
      </c>
      <c r="E8" s="19" t="s">
        <v>130</v>
      </c>
      <c r="F8" s="16" t="s">
        <v>131</v>
      </c>
    </row>
    <row r="9" spans="2:6" ht="18.45" customHeight="1" x14ac:dyDescent="0.3">
      <c r="B9" s="272" t="s">
        <v>109</v>
      </c>
      <c r="C9" s="272">
        <v>728200.00000000012</v>
      </c>
      <c r="D9" s="275">
        <f t="shared" ref="D9:D33" si="0">C9/C$33</f>
        <v>6.678108039352601E-2</v>
      </c>
      <c r="E9" s="272">
        <v>412500</v>
      </c>
      <c r="F9" s="272">
        <f>E9*D9</f>
        <v>27547.195662329479</v>
      </c>
    </row>
    <row r="10" spans="2:6" ht="18.45" customHeight="1" x14ac:dyDescent="0.3">
      <c r="B10" s="272" t="s">
        <v>343</v>
      </c>
      <c r="C10" s="272">
        <v>63800.000000000007</v>
      </c>
      <c r="D10" s="275">
        <f t="shared" si="0"/>
        <v>5.8509103668043932E-3</v>
      </c>
      <c r="E10" s="272">
        <v>412500</v>
      </c>
      <c r="F10" s="272">
        <f t="shared" ref="F10:F11" si="1">E10*D10</f>
        <v>2413.5005263068124</v>
      </c>
    </row>
    <row r="11" spans="2:6" ht="18.45" customHeight="1" x14ac:dyDescent="0.3">
      <c r="B11" s="272" t="s">
        <v>344</v>
      </c>
      <c r="C11" s="272">
        <v>155100</v>
      </c>
      <c r="D11" s="275">
        <f t="shared" si="0"/>
        <v>1.4223764857231367E-2</v>
      </c>
      <c r="E11" s="272">
        <v>412500</v>
      </c>
      <c r="F11" s="272">
        <f t="shared" si="1"/>
        <v>5867.303003607939</v>
      </c>
    </row>
    <row r="12" spans="2:6" ht="18.45" customHeight="1" x14ac:dyDescent="0.3">
      <c r="B12" s="272" t="s">
        <v>110</v>
      </c>
      <c r="C12" s="272">
        <v>573100</v>
      </c>
      <c r="D12" s="275">
        <f t="shared" si="0"/>
        <v>5.2557315536294627E-2</v>
      </c>
      <c r="E12" s="272">
        <v>412500</v>
      </c>
      <c r="F12" s="272">
        <f t="shared" ref="F12:F32" si="2">E12*D12</f>
        <v>21679.892658721532</v>
      </c>
    </row>
    <row r="13" spans="2:6" ht="18.45" customHeight="1" x14ac:dyDescent="0.3">
      <c r="B13" s="272" t="s">
        <v>112</v>
      </c>
      <c r="C13" s="272">
        <v>630300</v>
      </c>
      <c r="D13" s="275">
        <f t="shared" si="0"/>
        <v>5.7802959313429603E-2</v>
      </c>
      <c r="E13" s="272">
        <v>412500</v>
      </c>
      <c r="F13" s="272">
        <f t="shared" si="2"/>
        <v>23843.72071678971</v>
      </c>
    </row>
    <row r="14" spans="2:6" ht="18.45" customHeight="1" x14ac:dyDescent="0.3">
      <c r="B14" s="272" t="s">
        <v>111</v>
      </c>
      <c r="C14" s="272">
        <v>573319</v>
      </c>
      <c r="D14" s="275">
        <f t="shared" si="0"/>
        <v>5.2577399382224568E-2</v>
      </c>
      <c r="E14" s="272">
        <v>412500</v>
      </c>
      <c r="F14" s="272">
        <f t="shared" si="2"/>
        <v>21688.177245167633</v>
      </c>
    </row>
    <row r="15" spans="2:6" ht="18.45" customHeight="1" x14ac:dyDescent="0.3">
      <c r="B15" s="272" t="s">
        <v>351</v>
      </c>
      <c r="C15" s="272">
        <v>457209</v>
      </c>
      <c r="D15" s="275">
        <f t="shared" si="0"/>
        <v>4.1929292756994821E-2</v>
      </c>
      <c r="E15" s="272">
        <v>412500</v>
      </c>
      <c r="F15" s="272">
        <f t="shared" si="2"/>
        <v>17295.833262260363</v>
      </c>
    </row>
    <row r="16" spans="2:6" ht="18.45" customHeight="1" x14ac:dyDescent="0.3">
      <c r="B16" s="272" t="s">
        <v>352</v>
      </c>
      <c r="C16" s="272">
        <v>462054</v>
      </c>
      <c r="D16" s="275">
        <f t="shared" si="0"/>
        <v>4.2373613458047597E-2</v>
      </c>
      <c r="E16" s="272">
        <v>412500</v>
      </c>
      <c r="F16" s="272">
        <f t="shared" si="2"/>
        <v>17479.115551444633</v>
      </c>
    </row>
    <row r="17" spans="2:6" ht="18.45" customHeight="1" x14ac:dyDescent="0.3">
      <c r="B17" s="272" t="s">
        <v>353</v>
      </c>
      <c r="C17" s="272">
        <v>462054</v>
      </c>
      <c r="D17" s="275">
        <f t="shared" si="0"/>
        <v>4.2373613458047597E-2</v>
      </c>
      <c r="E17" s="272">
        <v>412500</v>
      </c>
      <c r="F17" s="272">
        <f t="shared" si="2"/>
        <v>17479.115551444633</v>
      </c>
    </row>
    <row r="18" spans="2:6" ht="18.45" customHeight="1" x14ac:dyDescent="0.3">
      <c r="B18" s="272" t="s">
        <v>113</v>
      </c>
      <c r="C18" s="272">
        <v>563200</v>
      </c>
      <c r="D18" s="275">
        <f t="shared" si="0"/>
        <v>5.1649415651790501E-2</v>
      </c>
      <c r="E18" s="272">
        <v>412500</v>
      </c>
      <c r="F18" s="272">
        <f t="shared" si="2"/>
        <v>21305.383956363581</v>
      </c>
    </row>
    <row r="19" spans="2:6" ht="18.45" customHeight="1" x14ac:dyDescent="0.3">
      <c r="B19" s="272" t="s">
        <v>114</v>
      </c>
      <c r="C19" s="272">
        <v>490600.00000000006</v>
      </c>
      <c r="D19" s="275">
        <f t="shared" si="0"/>
        <v>4.4991483165426886E-2</v>
      </c>
      <c r="E19" s="272">
        <v>412500</v>
      </c>
      <c r="F19" s="272">
        <f t="shared" si="2"/>
        <v>18558.98680573859</v>
      </c>
    </row>
    <row r="20" spans="2:6" ht="18.45" customHeight="1" x14ac:dyDescent="0.3">
      <c r="B20" s="272" t="s">
        <v>115</v>
      </c>
      <c r="C20" s="272">
        <v>437800.00000000006</v>
      </c>
      <c r="D20" s="275">
        <f t="shared" si="0"/>
        <v>4.0149350448071525E-2</v>
      </c>
      <c r="E20" s="272">
        <v>412500</v>
      </c>
      <c r="F20" s="272">
        <f t="shared" si="2"/>
        <v>16561.607059829505</v>
      </c>
    </row>
    <row r="21" spans="2:6" ht="18.45" customHeight="1" x14ac:dyDescent="0.3">
      <c r="B21" s="272" t="s">
        <v>116</v>
      </c>
      <c r="C21" s="272">
        <v>0</v>
      </c>
      <c r="D21" s="275">
        <f t="shared" si="0"/>
        <v>0</v>
      </c>
      <c r="E21" s="272">
        <v>412500</v>
      </c>
      <c r="F21" s="272">
        <f t="shared" si="2"/>
        <v>0</v>
      </c>
    </row>
    <row r="22" spans="2:6" ht="18.45" customHeight="1" x14ac:dyDescent="0.3">
      <c r="B22" s="272" t="s">
        <v>117</v>
      </c>
      <c r="C22" s="272">
        <v>209000.00000000003</v>
      </c>
      <c r="D22" s="275">
        <f t="shared" si="0"/>
        <v>1.9166775339531632E-2</v>
      </c>
      <c r="E22" s="272">
        <v>412500</v>
      </c>
      <c r="F22" s="272">
        <f t="shared" si="2"/>
        <v>7906.2948275567987</v>
      </c>
    </row>
    <row r="23" spans="2:6" ht="18.45" customHeight="1" x14ac:dyDescent="0.3">
      <c r="B23" s="272" t="s">
        <v>118</v>
      </c>
      <c r="C23" s="272">
        <v>0</v>
      </c>
      <c r="D23" s="275">
        <f t="shared" si="0"/>
        <v>0</v>
      </c>
      <c r="E23" s="272">
        <v>412500</v>
      </c>
      <c r="F23" s="272">
        <f t="shared" si="2"/>
        <v>0</v>
      </c>
    </row>
    <row r="24" spans="2:6" ht="18.45" customHeight="1" x14ac:dyDescent="0.3">
      <c r="B24" s="272" t="s">
        <v>119</v>
      </c>
      <c r="C24" s="272">
        <v>209000.00000000003</v>
      </c>
      <c r="D24" s="275">
        <f t="shared" si="0"/>
        <v>1.9166775339531632E-2</v>
      </c>
      <c r="E24" s="272">
        <v>412500</v>
      </c>
      <c r="F24" s="272">
        <f t="shared" si="2"/>
        <v>7906.2948275567987</v>
      </c>
    </row>
    <row r="25" spans="2:6" ht="18.45" customHeight="1" x14ac:dyDescent="0.3">
      <c r="B25" s="272" t="s">
        <v>120</v>
      </c>
      <c r="C25" s="272">
        <v>157300</v>
      </c>
      <c r="D25" s="275">
        <f t="shared" si="0"/>
        <v>1.4425520387121174E-2</v>
      </c>
      <c r="E25" s="272">
        <v>412500</v>
      </c>
      <c r="F25" s="272">
        <f t="shared" si="2"/>
        <v>5950.5271596874845</v>
      </c>
    </row>
    <row r="26" spans="2:6" ht="18.45" customHeight="1" x14ac:dyDescent="0.3">
      <c r="B26" s="272" t="s">
        <v>121</v>
      </c>
      <c r="C26" s="272">
        <v>145200</v>
      </c>
      <c r="D26" s="275">
        <f t="shared" si="0"/>
        <v>1.3315864972727237E-2</v>
      </c>
      <c r="E26" s="272">
        <v>412500</v>
      </c>
      <c r="F26" s="272">
        <f t="shared" si="2"/>
        <v>5492.7943012499854</v>
      </c>
    </row>
    <row r="27" spans="2:6" ht="18.45" customHeight="1" x14ac:dyDescent="0.3">
      <c r="B27" s="272" t="s">
        <v>345</v>
      </c>
      <c r="C27" s="272">
        <v>2307500</v>
      </c>
      <c r="D27" s="275">
        <f t="shared" si="0"/>
        <v>0.2116140387366949</v>
      </c>
      <c r="E27" s="272">
        <v>412500</v>
      </c>
      <c r="F27" s="272">
        <f t="shared" si="2"/>
        <v>87290.790978886653</v>
      </c>
    </row>
    <row r="28" spans="2:6" ht="18.45" customHeight="1" x14ac:dyDescent="0.3">
      <c r="B28" s="272" t="s">
        <v>122</v>
      </c>
      <c r="C28" s="272">
        <v>170975</v>
      </c>
      <c r="D28" s="275">
        <f t="shared" si="0"/>
        <v>1.5679614419504405E-2</v>
      </c>
      <c r="E28" s="272">
        <v>412500</v>
      </c>
      <c r="F28" s="272">
        <f t="shared" si="2"/>
        <v>6467.8409480455666</v>
      </c>
    </row>
    <row r="29" spans="2:6" ht="18.45" customHeight="1" x14ac:dyDescent="0.3">
      <c r="B29" s="272" t="s">
        <v>346</v>
      </c>
      <c r="C29" s="272">
        <v>547800</v>
      </c>
      <c r="D29" s="275">
        <f t="shared" si="0"/>
        <v>5.0237126942561848E-2</v>
      </c>
      <c r="E29" s="272">
        <v>412500</v>
      </c>
      <c r="F29" s="272">
        <f t="shared" si="2"/>
        <v>20722.814863806761</v>
      </c>
    </row>
    <row r="30" spans="2:6" ht="18.45" customHeight="1" x14ac:dyDescent="0.3">
      <c r="B30" s="272" t="s">
        <v>347</v>
      </c>
      <c r="C30" s="272">
        <v>547800</v>
      </c>
      <c r="D30" s="275">
        <f t="shared" si="0"/>
        <v>5.0237126942561848E-2</v>
      </c>
      <c r="E30" s="272">
        <v>412500</v>
      </c>
      <c r="F30" s="272">
        <f t="shared" si="2"/>
        <v>20722.814863806761</v>
      </c>
    </row>
    <row r="31" spans="2:6" ht="18.45" customHeight="1" x14ac:dyDescent="0.3">
      <c r="B31" s="272" t="s">
        <v>123</v>
      </c>
      <c r="C31" s="272">
        <v>82975</v>
      </c>
      <c r="D31" s="275">
        <f t="shared" si="0"/>
        <v>7.6093932239121387E-3</v>
      </c>
      <c r="E31" s="272">
        <v>412500</v>
      </c>
      <c r="F31" s="272">
        <f t="shared" si="2"/>
        <v>3138.8747048637574</v>
      </c>
    </row>
    <row r="32" spans="2:6" ht="18.45" customHeight="1" x14ac:dyDescent="0.3">
      <c r="B32" s="186" t="s">
        <v>124</v>
      </c>
      <c r="C32" s="187">
        <f>'SCENARIO-1 '!C176</f>
        <v>930000</v>
      </c>
      <c r="D32" s="189">
        <f t="shared" si="0"/>
        <v>8.5287564907963714E-2</v>
      </c>
      <c r="E32" s="186">
        <v>412500</v>
      </c>
      <c r="F32" s="186">
        <f t="shared" si="2"/>
        <v>35181.120524535036</v>
      </c>
    </row>
    <row r="33" spans="2:6" ht="18.45" customHeight="1" x14ac:dyDescent="0.3">
      <c r="B33" s="272" t="s">
        <v>13</v>
      </c>
      <c r="C33" s="272">
        <f>SUM(C9:C32)</f>
        <v>10904286</v>
      </c>
      <c r="D33" s="275">
        <f t="shared" si="0"/>
        <v>1</v>
      </c>
      <c r="E33" s="272">
        <v>412500</v>
      </c>
      <c r="F33" s="272">
        <f>SUM(F9:F32)</f>
        <v>412500</v>
      </c>
    </row>
    <row r="34" spans="2:6" ht="18.45" customHeight="1" x14ac:dyDescent="0.3">
      <c r="B34" s="13"/>
      <c r="C34" s="13"/>
      <c r="D34" s="13"/>
    </row>
    <row r="35" spans="2:6" ht="18.45" customHeight="1" x14ac:dyDescent="0.3">
      <c r="B35" s="17" t="s">
        <v>125</v>
      </c>
      <c r="C35" s="16">
        <f>_xlfn.QUARTILE.INC($C$9:$C$32,1)</f>
        <v>156750</v>
      </c>
      <c r="D35" s="13"/>
    </row>
    <row r="36" spans="2:6" ht="18.45" customHeight="1" x14ac:dyDescent="0.3">
      <c r="B36" s="17" t="s">
        <v>126</v>
      </c>
      <c r="C36" s="16">
        <f>_xlfn.QUARTILE.INC($C$9:$C$32,2)</f>
        <v>459631.5</v>
      </c>
      <c r="D36" s="13"/>
    </row>
    <row r="37" spans="2:6" ht="18.45" customHeight="1" x14ac:dyDescent="0.3">
      <c r="B37" s="17" t="s">
        <v>127</v>
      </c>
      <c r="C37" s="16">
        <f>_xlfn.QUARTILE.INC($C$9:$C$32,3)</f>
        <v>565675</v>
      </c>
      <c r="D37" s="13"/>
    </row>
    <row r="38" spans="2:6" ht="18.45" customHeight="1" x14ac:dyDescent="0.3">
      <c r="B38" s="17" t="s">
        <v>128</v>
      </c>
      <c r="C38" s="16">
        <f>_xlfn.QUARTILE.INC($C$9:$C$32,4)</f>
        <v>2307500</v>
      </c>
      <c r="D38" s="13"/>
    </row>
    <row r="39" spans="2:6" ht="18.45" customHeight="1" x14ac:dyDescent="0.3">
      <c r="B39" s="17" t="s">
        <v>129</v>
      </c>
      <c r="C39" s="16">
        <f>C37-C35</f>
        <v>408925</v>
      </c>
      <c r="D39" s="13"/>
    </row>
    <row r="40" spans="2:6" ht="18.45" customHeight="1" x14ac:dyDescent="0.3">
      <c r="B40" s="17" t="s">
        <v>183</v>
      </c>
      <c r="C40" s="16">
        <f>C39*1.5+C37</f>
        <v>1179062.5</v>
      </c>
      <c r="D40" s="13"/>
    </row>
    <row r="42" spans="2:6" ht="18.45" customHeight="1" x14ac:dyDescent="0.3">
      <c r="B42" s="17" t="s">
        <v>179</v>
      </c>
      <c r="C42" s="18">
        <f>AVERAGE(D9:D31)</f>
        <v>3.9770105873566795E-2</v>
      </c>
    </row>
    <row r="43" spans="2:6" ht="18.45" customHeight="1" x14ac:dyDescent="0.3">
      <c r="B43" s="17" t="s">
        <v>180</v>
      </c>
      <c r="C43" s="18">
        <f>MEDIAN(D9:D31)</f>
        <v>4.1929292756994821E-2</v>
      </c>
    </row>
    <row r="45" spans="2:6" ht="18.45" customHeight="1" thickBot="1" x14ac:dyDescent="0.35">
      <c r="B45" s="40" t="s">
        <v>324</v>
      </c>
    </row>
    <row r="46" spans="2:6" ht="18.45" customHeight="1" thickTop="1" x14ac:dyDescent="0.3"/>
    <row r="47" spans="2:6" ht="18.45" customHeight="1" x14ac:dyDescent="0.3">
      <c r="B47" s="16" t="s">
        <v>106</v>
      </c>
      <c r="C47" s="16" t="s">
        <v>107</v>
      </c>
      <c r="D47" s="16" t="s">
        <v>133</v>
      </c>
    </row>
    <row r="48" spans="2:6" ht="18.45" customHeight="1" x14ac:dyDescent="0.3">
      <c r="B48" s="272" t="s">
        <v>109</v>
      </c>
      <c r="C48" s="272">
        <f>VLOOKUP(B48,$B$8:$C$31,2,FALSE)</f>
        <v>728200.00000000012</v>
      </c>
      <c r="D48" s="272">
        <f>VLOOKUP(B48,O.H2!$B$8:$E$32,4,FALSE)</f>
        <v>11280</v>
      </c>
    </row>
    <row r="49" spans="2:4" ht="18.45" customHeight="1" x14ac:dyDescent="0.3">
      <c r="B49" s="272" t="s">
        <v>343</v>
      </c>
      <c r="C49" s="272">
        <f t="shared" ref="C49:C50" si="3">VLOOKUP(B49,$B$8:$C$31,2,FALSE)</f>
        <v>63800.000000000007</v>
      </c>
      <c r="D49" s="272">
        <f>VLOOKUP(B49,O.H2!$B$8:$E$32,4,FALSE)</f>
        <v>1800</v>
      </c>
    </row>
    <row r="50" spans="2:4" ht="18.45" customHeight="1" x14ac:dyDescent="0.3">
      <c r="B50" s="272" t="s">
        <v>344</v>
      </c>
      <c r="C50" s="272">
        <f t="shared" si="3"/>
        <v>155100</v>
      </c>
      <c r="D50" s="272">
        <f>VLOOKUP(B50,O.H2!$B$8:$E$32,4,FALSE)</f>
        <v>3600</v>
      </c>
    </row>
    <row r="51" spans="2:4" ht="18.45" customHeight="1" x14ac:dyDescent="0.3">
      <c r="B51" s="272" t="s">
        <v>110</v>
      </c>
      <c r="C51" s="272">
        <f t="shared" ref="C51:C70" si="4">VLOOKUP(B51,$B$8:$C$31,2,FALSE)</f>
        <v>573100</v>
      </c>
      <c r="D51" s="272">
        <f>VLOOKUP(B51,O.H2!$B$8:$E$32,4,FALSE)</f>
        <v>8400</v>
      </c>
    </row>
    <row r="52" spans="2:4" ht="18.45" customHeight="1" x14ac:dyDescent="0.3">
      <c r="B52" s="272" t="s">
        <v>112</v>
      </c>
      <c r="C52" s="272">
        <f t="shared" si="4"/>
        <v>630300</v>
      </c>
      <c r="D52" s="272">
        <f>VLOOKUP(B52,O.H2!$B$8:$E$32,4,FALSE)</f>
        <v>8400</v>
      </c>
    </row>
    <row r="53" spans="2:4" ht="18.45" customHeight="1" x14ac:dyDescent="0.3">
      <c r="B53" s="272" t="s">
        <v>111</v>
      </c>
      <c r="C53" s="272">
        <f t="shared" si="4"/>
        <v>573319</v>
      </c>
      <c r="D53" s="272">
        <f>VLOOKUP(B53,O.H2!$B$8:$E$32,4,FALSE)</f>
        <v>12000</v>
      </c>
    </row>
    <row r="54" spans="2:4" ht="18.45" customHeight="1" x14ac:dyDescent="0.3">
      <c r="B54" s="272" t="s">
        <v>351</v>
      </c>
      <c r="C54" s="272">
        <f t="shared" ref="C54:C56" si="5">VLOOKUP(B54,$B$8:$C$31,2,FALSE)</f>
        <v>457209</v>
      </c>
      <c r="D54" s="272">
        <f>VLOOKUP(B54,O.H2!$B$8:$E$32,4,FALSE)</f>
        <v>9600</v>
      </c>
    </row>
    <row r="55" spans="2:4" ht="18.45" customHeight="1" x14ac:dyDescent="0.3">
      <c r="B55" s="272" t="s">
        <v>352</v>
      </c>
      <c r="C55" s="272">
        <f t="shared" si="5"/>
        <v>462054</v>
      </c>
      <c r="D55" s="272">
        <f>VLOOKUP(B55,O.H2!$B$8:$E$32,4,FALSE)</f>
        <v>11280</v>
      </c>
    </row>
    <row r="56" spans="2:4" ht="18.45" customHeight="1" x14ac:dyDescent="0.3">
      <c r="B56" s="272" t="s">
        <v>353</v>
      </c>
      <c r="C56" s="272">
        <f t="shared" si="5"/>
        <v>462054</v>
      </c>
      <c r="D56" s="272">
        <f>VLOOKUP(B56,O.H2!$B$8:$E$32,4,FALSE)</f>
        <v>11280</v>
      </c>
    </row>
    <row r="57" spans="2:4" ht="18.45" customHeight="1" x14ac:dyDescent="0.3">
      <c r="B57" s="272" t="s">
        <v>113</v>
      </c>
      <c r="C57" s="272">
        <f t="shared" si="4"/>
        <v>563200</v>
      </c>
      <c r="D57" s="272">
        <f>VLOOKUP(B57,O.H2!$B$8:$E$32,4,FALSE)</f>
        <v>8400</v>
      </c>
    </row>
    <row r="58" spans="2:4" ht="18.45" customHeight="1" x14ac:dyDescent="0.3">
      <c r="B58" s="272" t="s">
        <v>114</v>
      </c>
      <c r="C58" s="272">
        <f t="shared" si="4"/>
        <v>490600.00000000006</v>
      </c>
      <c r="D58" s="272">
        <f>VLOOKUP(B58,O.H2!$B$8:$E$32,4,FALSE)</f>
        <v>8400</v>
      </c>
    </row>
    <row r="59" spans="2:4" ht="18.45" customHeight="1" x14ac:dyDescent="0.3">
      <c r="B59" s="272" t="s">
        <v>115</v>
      </c>
      <c r="C59" s="272">
        <f t="shared" si="4"/>
        <v>437800.00000000006</v>
      </c>
      <c r="D59" s="272">
        <f>VLOOKUP(B59,O.H2!$B$8:$E$32,4,FALSE)</f>
        <v>7200</v>
      </c>
    </row>
    <row r="60" spans="2:4" ht="18.45" customHeight="1" x14ac:dyDescent="0.3">
      <c r="B60" s="272" t="s">
        <v>116</v>
      </c>
      <c r="C60" s="272">
        <f t="shared" si="4"/>
        <v>0</v>
      </c>
      <c r="D60" s="272">
        <f>VLOOKUP(B60,O.H2!$B$8:$E$32,4,FALSE)</f>
        <v>0</v>
      </c>
    </row>
    <row r="61" spans="2:4" ht="18.45" customHeight="1" x14ac:dyDescent="0.3">
      <c r="B61" s="272" t="s">
        <v>117</v>
      </c>
      <c r="C61" s="272">
        <f t="shared" si="4"/>
        <v>209000.00000000003</v>
      </c>
      <c r="D61" s="272">
        <f>VLOOKUP(B61,O.H2!$B$8:$E$32,4,FALSE)</f>
        <v>5040</v>
      </c>
    </row>
    <row r="62" spans="2:4" ht="18.45" customHeight="1" x14ac:dyDescent="0.3">
      <c r="B62" s="272" t="s">
        <v>118</v>
      </c>
      <c r="C62" s="272">
        <f t="shared" si="4"/>
        <v>0</v>
      </c>
      <c r="D62" s="272">
        <f>VLOOKUP(B62,O.H2!$B$8:$E$32,4,FALSE)</f>
        <v>0</v>
      </c>
    </row>
    <row r="63" spans="2:4" ht="18.45" customHeight="1" x14ac:dyDescent="0.3">
      <c r="B63" s="272" t="s">
        <v>119</v>
      </c>
      <c r="C63" s="272">
        <f t="shared" si="4"/>
        <v>209000.00000000003</v>
      </c>
      <c r="D63" s="272">
        <f>VLOOKUP(B63,O.H2!$B$8:$E$32,4,FALSE)</f>
        <v>5040</v>
      </c>
    </row>
    <row r="64" spans="2:4" ht="18.45" customHeight="1" x14ac:dyDescent="0.3">
      <c r="B64" s="272" t="s">
        <v>120</v>
      </c>
      <c r="C64" s="272">
        <f t="shared" si="4"/>
        <v>157300</v>
      </c>
      <c r="D64" s="272">
        <f>VLOOKUP(B64,O.H2!$B$8:$E$32,4,FALSE)</f>
        <v>2400</v>
      </c>
    </row>
    <row r="65" spans="2:4" ht="18.45" customHeight="1" x14ac:dyDescent="0.3">
      <c r="B65" s="272" t="s">
        <v>121</v>
      </c>
      <c r="C65" s="272">
        <f t="shared" si="4"/>
        <v>145200</v>
      </c>
      <c r="D65" s="272">
        <f>VLOOKUP(B65,O.H2!$B$8:$E$32,4,FALSE)</f>
        <v>2400</v>
      </c>
    </row>
    <row r="66" spans="2:4" ht="18.45" customHeight="1" x14ac:dyDescent="0.3">
      <c r="B66" s="272" t="s">
        <v>345</v>
      </c>
      <c r="C66" s="272">
        <f t="shared" si="4"/>
        <v>2307500</v>
      </c>
      <c r="D66" s="272">
        <f>VLOOKUP(B66,O.H2!$B$8:$E$32,4,FALSE)</f>
        <v>30000</v>
      </c>
    </row>
    <row r="67" spans="2:4" ht="18.45" customHeight="1" x14ac:dyDescent="0.3">
      <c r="B67" s="272" t="s">
        <v>122</v>
      </c>
      <c r="C67" s="272">
        <f t="shared" si="4"/>
        <v>170975</v>
      </c>
      <c r="D67" s="272">
        <f>VLOOKUP(B67,O.H2!$B$8:$E$32,4,FALSE)</f>
        <v>4368</v>
      </c>
    </row>
    <row r="68" spans="2:4" ht="18.45" customHeight="1" x14ac:dyDescent="0.3">
      <c r="B68" s="272" t="s">
        <v>346</v>
      </c>
      <c r="C68" s="272">
        <f t="shared" si="4"/>
        <v>547800</v>
      </c>
      <c r="D68" s="272">
        <f>VLOOKUP(B68,O.H2!$B$8:$E$32,4,FALSE)</f>
        <v>8400</v>
      </c>
    </row>
    <row r="69" spans="2:4" ht="18.45" customHeight="1" x14ac:dyDescent="0.3">
      <c r="B69" s="272" t="s">
        <v>347</v>
      </c>
      <c r="C69" s="272">
        <f t="shared" si="4"/>
        <v>547800</v>
      </c>
      <c r="D69" s="272">
        <f>VLOOKUP(B69,O.H2!$B$8:$E$32,4,FALSE)</f>
        <v>8400</v>
      </c>
    </row>
    <row r="70" spans="2:4" ht="18.45" customHeight="1" x14ac:dyDescent="0.3">
      <c r="B70" s="272" t="s">
        <v>123</v>
      </c>
      <c r="C70" s="272">
        <f t="shared" si="4"/>
        <v>82975</v>
      </c>
      <c r="D70" s="272">
        <f>VLOOKUP(B70,O.H2!$B$8:$E$32,4,FALSE)</f>
        <v>2080</v>
      </c>
    </row>
  </sheetData>
  <sheetProtection algorithmName="SHA-512" hashValue="hOEViz9zPAjThSMKQTWliiZNyL7uo4eJ7DrF4W+tjkTCuiA7qHYQPjlxCgV2iEt+9kFQD9PBRl52UUtqKXTBxw==" saltValue="esDvAq3qMIwNE3HAXgCWBA==" spinCount="100000" sheet="1" objects="1" scenarios="1"/>
  <mergeCells count="3">
    <mergeCell ref="C2:F2"/>
    <mergeCell ref="C3:F3"/>
    <mergeCell ref="C4:F4"/>
  </mergeCells>
  <conditionalFormatting sqref="C9:C32">
    <cfRule type="cellIs" dxfId="3" priority="1" operator="greaterThan">
      <formula>$C$40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BCD81-0442-4ED6-866B-D24EC2050963}">
  <sheetPr codeName="Sheet5"/>
  <dimension ref="B2:J52"/>
  <sheetViews>
    <sheetView showGridLines="0" rightToLeft="1" workbookViewId="0">
      <selection activeCell="B9" sqref="B9:I33"/>
    </sheetView>
  </sheetViews>
  <sheetFormatPr defaultColWidth="8.5546875" defaultRowHeight="18.45" customHeight="1" x14ac:dyDescent="0.3"/>
  <cols>
    <col min="1" max="1" width="3.77734375" customWidth="1"/>
    <col min="2" max="2" width="26.6640625" bestFit="1" customWidth="1"/>
    <col min="3" max="3" width="12.77734375" bestFit="1" customWidth="1"/>
    <col min="4" max="4" width="14.5546875" bestFit="1" customWidth="1"/>
    <col min="5" max="5" width="16.88671875" bestFit="1" customWidth="1"/>
    <col min="6" max="6" width="15" bestFit="1" customWidth="1"/>
    <col min="7" max="7" width="14.5546875" bestFit="1" customWidth="1"/>
    <col min="8" max="8" width="12.77734375" customWidth="1"/>
    <col min="9" max="9" width="8.77734375" bestFit="1" customWidth="1"/>
    <col min="10" max="10" width="9.109375" bestFit="1" customWidth="1"/>
  </cols>
  <sheetData>
    <row r="2" spans="2:10" ht="18.45" customHeight="1" thickBot="1" x14ac:dyDescent="0.35">
      <c r="B2" s="1"/>
      <c r="C2" s="290" t="s">
        <v>102</v>
      </c>
      <c r="D2" s="290"/>
      <c r="E2" s="290"/>
      <c r="F2" s="290"/>
      <c r="G2" s="290"/>
    </row>
    <row r="3" spans="2:10" ht="18.45" customHeight="1" thickTop="1" thickBot="1" x14ac:dyDescent="0.35">
      <c r="B3" s="1"/>
      <c r="C3" s="291" t="s">
        <v>103</v>
      </c>
      <c r="D3" s="292"/>
      <c r="E3" s="292"/>
      <c r="F3" s="292"/>
      <c r="G3" s="292"/>
    </row>
    <row r="4" spans="2:10" ht="18.45" customHeight="1" thickBot="1" x14ac:dyDescent="0.35">
      <c r="B4" s="1"/>
      <c r="C4" s="291" t="s">
        <v>136</v>
      </c>
      <c r="D4" s="292"/>
      <c r="E4" s="292"/>
      <c r="F4" s="292"/>
      <c r="G4" s="292"/>
    </row>
    <row r="5" spans="2:10" ht="18.45" customHeight="1" x14ac:dyDescent="0.3">
      <c r="B5" s="1"/>
      <c r="C5" s="1"/>
      <c r="D5" s="1"/>
      <c r="E5" s="1"/>
      <c r="F5" s="1"/>
      <c r="G5" s="1"/>
    </row>
    <row r="6" spans="2:10" ht="18.45" customHeight="1" thickBot="1" x14ac:dyDescent="0.35">
      <c r="B6" s="40" t="s">
        <v>105</v>
      </c>
      <c r="C6" s="1"/>
      <c r="D6" s="1"/>
      <c r="E6" s="1"/>
      <c r="F6" s="1"/>
      <c r="G6" s="1"/>
    </row>
    <row r="7" spans="2:10" ht="23.4" thickTop="1" x14ac:dyDescent="0.3">
      <c r="B7" s="39"/>
      <c r="C7" s="1"/>
      <c r="D7" s="1"/>
      <c r="E7" s="1"/>
      <c r="F7" s="1"/>
      <c r="G7" s="1"/>
    </row>
    <row r="8" spans="2:10" ht="52.2" x14ac:dyDescent="0.3">
      <c r="B8" s="16" t="s">
        <v>106</v>
      </c>
      <c r="C8" s="16" t="s">
        <v>9</v>
      </c>
      <c r="D8" s="19" t="s">
        <v>133</v>
      </c>
      <c r="E8" s="16" t="s">
        <v>134</v>
      </c>
      <c r="F8" s="19" t="s">
        <v>130</v>
      </c>
      <c r="G8" s="16" t="s">
        <v>135</v>
      </c>
      <c r="H8" s="16" t="s">
        <v>131</v>
      </c>
      <c r="I8" s="16" t="s">
        <v>108</v>
      </c>
    </row>
    <row r="9" spans="2:10" ht="18.45" customHeight="1" x14ac:dyDescent="0.3">
      <c r="B9" s="186" t="s">
        <v>124</v>
      </c>
      <c r="C9" s="187">
        <f>'SCENARIO-1 '!C35</f>
        <v>36</v>
      </c>
      <c r="D9" s="187">
        <f>CHOOSE('SCENARIO-1 '!F21,INPUTS!D9,INPUTS!D10,INPUTS!D11,INPUTS!D12)</f>
        <v>240</v>
      </c>
      <c r="E9" s="187">
        <f t="shared" ref="E9:E32" si="0">D9*C9</f>
        <v>8640</v>
      </c>
      <c r="F9" s="186">
        <v>412500</v>
      </c>
      <c r="G9" s="188">
        <f t="shared" ref="G9:G32" si="1">F9/E$33</f>
        <v>2.3121160486076859</v>
      </c>
      <c r="H9" s="186">
        <f t="shared" ref="H9:H32" si="2">G9*E9</f>
        <v>19976.682659970407</v>
      </c>
      <c r="I9" s="189">
        <f t="shared" ref="I9:I32" si="3">H9/H$33</f>
        <v>4.8428321599928263E-2</v>
      </c>
    </row>
    <row r="10" spans="2:10" ht="18.45" customHeight="1" x14ac:dyDescent="0.3">
      <c r="B10" s="272" t="s">
        <v>343</v>
      </c>
      <c r="C10" s="272">
        <v>5</v>
      </c>
      <c r="D10" s="273">
        <f>12*30</f>
        <v>360</v>
      </c>
      <c r="E10" s="273">
        <f t="shared" si="0"/>
        <v>1800</v>
      </c>
      <c r="F10" s="272">
        <v>412500</v>
      </c>
      <c r="G10" s="274">
        <f t="shared" si="1"/>
        <v>2.3121160486076859</v>
      </c>
      <c r="H10" s="272">
        <f t="shared" si="2"/>
        <v>4161.8088874938348</v>
      </c>
      <c r="I10" s="275">
        <f t="shared" si="3"/>
        <v>1.0089233666651721E-2</v>
      </c>
      <c r="J10" s="131"/>
    </row>
    <row r="11" spans="2:10" ht="18.45" customHeight="1" x14ac:dyDescent="0.3">
      <c r="B11" s="272" t="s">
        <v>344</v>
      </c>
      <c r="C11" s="272">
        <v>10</v>
      </c>
      <c r="D11" s="273">
        <f>12*30</f>
        <v>360</v>
      </c>
      <c r="E11" s="273">
        <f t="shared" si="0"/>
        <v>3600</v>
      </c>
      <c r="F11" s="272">
        <v>412500</v>
      </c>
      <c r="G11" s="274">
        <f t="shared" si="1"/>
        <v>2.3121160486076859</v>
      </c>
      <c r="H11" s="272">
        <f t="shared" si="2"/>
        <v>8323.6177749876697</v>
      </c>
      <c r="I11" s="275">
        <f t="shared" si="3"/>
        <v>2.0178467333303442E-2</v>
      </c>
      <c r="J11" s="131"/>
    </row>
    <row r="12" spans="2:10" ht="18.45" customHeight="1" x14ac:dyDescent="0.3">
      <c r="B12" s="272" t="s">
        <v>123</v>
      </c>
      <c r="C12" s="272">
        <v>10</v>
      </c>
      <c r="D12" s="273">
        <f>8*26</f>
        <v>208</v>
      </c>
      <c r="E12" s="273">
        <f t="shared" si="0"/>
        <v>2080</v>
      </c>
      <c r="F12" s="272">
        <v>412500</v>
      </c>
      <c r="G12" s="274">
        <f t="shared" si="1"/>
        <v>2.3121160486076859</v>
      </c>
      <c r="H12" s="272">
        <f t="shared" si="2"/>
        <v>4809.2013811039869</v>
      </c>
      <c r="I12" s="275">
        <f t="shared" si="3"/>
        <v>1.1658670014797545E-2</v>
      </c>
      <c r="J12" s="131"/>
    </row>
    <row r="13" spans="2:10" ht="18.45" customHeight="1" x14ac:dyDescent="0.3">
      <c r="B13" s="272" t="s">
        <v>120</v>
      </c>
      <c r="C13" s="272">
        <v>10</v>
      </c>
      <c r="D13" s="273">
        <f>8*30</f>
        <v>240</v>
      </c>
      <c r="E13" s="273">
        <f t="shared" si="0"/>
        <v>2400</v>
      </c>
      <c r="F13" s="272">
        <v>412500</v>
      </c>
      <c r="G13" s="274">
        <f t="shared" si="1"/>
        <v>2.3121160486076859</v>
      </c>
      <c r="H13" s="272">
        <f t="shared" si="2"/>
        <v>5549.0785166584465</v>
      </c>
      <c r="I13" s="275">
        <f t="shared" si="3"/>
        <v>1.3452311555535628E-2</v>
      </c>
      <c r="J13" s="131"/>
    </row>
    <row r="14" spans="2:10" ht="18.45" customHeight="1" x14ac:dyDescent="0.3">
      <c r="B14" s="272" t="s">
        <v>121</v>
      </c>
      <c r="C14" s="272">
        <v>10</v>
      </c>
      <c r="D14" s="273">
        <f>8*30</f>
        <v>240</v>
      </c>
      <c r="E14" s="273">
        <f t="shared" si="0"/>
        <v>2400</v>
      </c>
      <c r="F14" s="272">
        <v>412500</v>
      </c>
      <c r="G14" s="274">
        <f t="shared" si="1"/>
        <v>2.3121160486076859</v>
      </c>
      <c r="H14" s="272">
        <f t="shared" si="2"/>
        <v>5549.0785166584465</v>
      </c>
      <c r="I14" s="275">
        <f t="shared" si="3"/>
        <v>1.3452311555535628E-2</v>
      </c>
      <c r="J14" s="131"/>
    </row>
    <row r="15" spans="2:10" ht="18.45" customHeight="1" x14ac:dyDescent="0.3">
      <c r="B15" s="272" t="s">
        <v>345</v>
      </c>
      <c r="C15" s="272">
        <v>125</v>
      </c>
      <c r="D15" s="273">
        <f>8*30</f>
        <v>240</v>
      </c>
      <c r="E15" s="273">
        <f t="shared" si="0"/>
        <v>30000</v>
      </c>
      <c r="F15" s="272">
        <v>412500</v>
      </c>
      <c r="G15" s="274">
        <f t="shared" si="1"/>
        <v>2.3121160486076859</v>
      </c>
      <c r="H15" s="272">
        <f t="shared" si="2"/>
        <v>69363.481458230584</v>
      </c>
      <c r="I15" s="275">
        <f t="shared" si="3"/>
        <v>0.16815389444419535</v>
      </c>
      <c r="J15" s="131"/>
    </row>
    <row r="16" spans="2:10" ht="18.45" customHeight="1" x14ac:dyDescent="0.3">
      <c r="B16" s="272" t="s">
        <v>122</v>
      </c>
      <c r="C16" s="272">
        <v>21</v>
      </c>
      <c r="D16" s="273">
        <f>8*26</f>
        <v>208</v>
      </c>
      <c r="E16" s="273">
        <f t="shared" si="0"/>
        <v>4368</v>
      </c>
      <c r="F16" s="272">
        <v>412500</v>
      </c>
      <c r="G16" s="274">
        <f t="shared" si="1"/>
        <v>2.3121160486076859</v>
      </c>
      <c r="H16" s="272">
        <f t="shared" si="2"/>
        <v>10099.322900318371</v>
      </c>
      <c r="I16" s="275">
        <f t="shared" si="3"/>
        <v>2.4483207031074841E-2</v>
      </c>
      <c r="J16" s="131"/>
    </row>
    <row r="17" spans="2:10" ht="18.45" customHeight="1" x14ac:dyDescent="0.3">
      <c r="B17" s="272" t="s">
        <v>346</v>
      </c>
      <c r="C17" s="272">
        <v>35</v>
      </c>
      <c r="D17" s="273">
        <f t="shared" ref="D17:D18" si="4">8*30</f>
        <v>240</v>
      </c>
      <c r="E17" s="273">
        <f t="shared" ref="E17:E18" si="5">D17*C17</f>
        <v>8400</v>
      </c>
      <c r="F17" s="272">
        <v>412500</v>
      </c>
      <c r="G17" s="274">
        <f t="shared" ref="G17:G18" si="6">F17/E$33</f>
        <v>2.3121160486076859</v>
      </c>
      <c r="H17" s="272">
        <f t="shared" ref="H17:H18" si="7">G17*E17</f>
        <v>19421.774808304563</v>
      </c>
      <c r="I17" s="275">
        <f t="shared" ref="I17:I18" si="8">H17/H$33</f>
        <v>4.7083090444374698E-2</v>
      </c>
      <c r="J17" s="131"/>
    </row>
    <row r="18" spans="2:10" ht="18.45" customHeight="1" x14ac:dyDescent="0.3">
      <c r="B18" s="272" t="s">
        <v>347</v>
      </c>
      <c r="C18" s="272">
        <v>35</v>
      </c>
      <c r="D18" s="273">
        <f t="shared" si="4"/>
        <v>240</v>
      </c>
      <c r="E18" s="273">
        <f t="shared" si="5"/>
        <v>8400</v>
      </c>
      <c r="F18" s="272">
        <v>412500</v>
      </c>
      <c r="G18" s="274">
        <f t="shared" si="6"/>
        <v>2.3121160486076859</v>
      </c>
      <c r="H18" s="272">
        <f t="shared" si="7"/>
        <v>19421.774808304563</v>
      </c>
      <c r="I18" s="275">
        <f t="shared" si="8"/>
        <v>4.7083090444374698E-2</v>
      </c>
      <c r="J18" s="131"/>
    </row>
    <row r="19" spans="2:10" ht="18.45" customHeight="1" x14ac:dyDescent="0.3">
      <c r="B19" s="272" t="s">
        <v>116</v>
      </c>
      <c r="C19" s="272">
        <v>0</v>
      </c>
      <c r="D19" s="273">
        <f t="shared" ref="D19:D32" si="9">8*30</f>
        <v>240</v>
      </c>
      <c r="E19" s="273">
        <f t="shared" si="0"/>
        <v>0</v>
      </c>
      <c r="F19" s="272">
        <v>412500</v>
      </c>
      <c r="G19" s="274">
        <f t="shared" si="1"/>
        <v>2.3121160486076859</v>
      </c>
      <c r="H19" s="272">
        <f t="shared" si="2"/>
        <v>0</v>
      </c>
      <c r="I19" s="275">
        <f t="shared" si="3"/>
        <v>0</v>
      </c>
      <c r="J19" s="131"/>
    </row>
    <row r="20" spans="2:10" ht="18.45" customHeight="1" x14ac:dyDescent="0.3">
      <c r="B20" s="272" t="s">
        <v>117</v>
      </c>
      <c r="C20" s="272">
        <v>21</v>
      </c>
      <c r="D20" s="273">
        <f t="shared" si="9"/>
        <v>240</v>
      </c>
      <c r="E20" s="273">
        <f t="shared" si="0"/>
        <v>5040</v>
      </c>
      <c r="F20" s="272">
        <v>412500</v>
      </c>
      <c r="G20" s="274">
        <f t="shared" si="1"/>
        <v>2.3121160486076859</v>
      </c>
      <c r="H20" s="272">
        <f t="shared" si="2"/>
        <v>11653.064884982738</v>
      </c>
      <c r="I20" s="275">
        <f t="shared" si="3"/>
        <v>2.8249854266624817E-2</v>
      </c>
      <c r="J20" s="131"/>
    </row>
    <row r="21" spans="2:10" ht="18.45" customHeight="1" x14ac:dyDescent="0.3">
      <c r="B21" s="272" t="s">
        <v>118</v>
      </c>
      <c r="C21" s="272">
        <v>0</v>
      </c>
      <c r="D21" s="273">
        <f t="shared" si="9"/>
        <v>240</v>
      </c>
      <c r="E21" s="273">
        <f t="shared" si="0"/>
        <v>0</v>
      </c>
      <c r="F21" s="272">
        <v>412500</v>
      </c>
      <c r="G21" s="274">
        <f t="shared" si="1"/>
        <v>2.3121160486076859</v>
      </c>
      <c r="H21" s="272">
        <f t="shared" si="2"/>
        <v>0</v>
      </c>
      <c r="I21" s="275">
        <f t="shared" si="3"/>
        <v>0</v>
      </c>
      <c r="J21" s="131"/>
    </row>
    <row r="22" spans="2:10" ht="18.45" customHeight="1" x14ac:dyDescent="0.3">
      <c r="B22" s="272" t="s">
        <v>119</v>
      </c>
      <c r="C22" s="272">
        <v>21</v>
      </c>
      <c r="D22" s="273">
        <f t="shared" si="9"/>
        <v>240</v>
      </c>
      <c r="E22" s="273">
        <f t="shared" si="0"/>
        <v>5040</v>
      </c>
      <c r="F22" s="272">
        <v>412500</v>
      </c>
      <c r="G22" s="274">
        <f t="shared" si="1"/>
        <v>2.3121160486076859</v>
      </c>
      <c r="H22" s="272">
        <f t="shared" si="2"/>
        <v>11653.064884982738</v>
      </c>
      <c r="I22" s="275">
        <f t="shared" si="3"/>
        <v>2.8249854266624817E-2</v>
      </c>
      <c r="J22" s="131"/>
    </row>
    <row r="23" spans="2:10" ht="18.45" customHeight="1" x14ac:dyDescent="0.3">
      <c r="B23" s="272" t="s">
        <v>115</v>
      </c>
      <c r="C23" s="272">
        <v>30</v>
      </c>
      <c r="D23" s="273">
        <f t="shared" si="9"/>
        <v>240</v>
      </c>
      <c r="E23" s="273">
        <f t="shared" si="0"/>
        <v>7200</v>
      </c>
      <c r="F23" s="272">
        <v>412500</v>
      </c>
      <c r="G23" s="274">
        <f t="shared" si="1"/>
        <v>2.3121160486076859</v>
      </c>
      <c r="H23" s="272">
        <f t="shared" si="2"/>
        <v>16647.235549975339</v>
      </c>
      <c r="I23" s="275">
        <f t="shared" si="3"/>
        <v>4.0356934666606885E-2</v>
      </c>
      <c r="J23" s="131"/>
    </row>
    <row r="24" spans="2:10" ht="18.45" customHeight="1" x14ac:dyDescent="0.3">
      <c r="B24" s="272" t="s">
        <v>110</v>
      </c>
      <c r="C24" s="272">
        <v>35</v>
      </c>
      <c r="D24" s="273">
        <f t="shared" si="9"/>
        <v>240</v>
      </c>
      <c r="E24" s="273">
        <f t="shared" si="0"/>
        <v>8400</v>
      </c>
      <c r="F24" s="272">
        <v>412500</v>
      </c>
      <c r="G24" s="274">
        <f t="shared" si="1"/>
        <v>2.3121160486076859</v>
      </c>
      <c r="H24" s="272">
        <f t="shared" si="2"/>
        <v>19421.774808304563</v>
      </c>
      <c r="I24" s="275">
        <f t="shared" si="3"/>
        <v>4.7083090444374698E-2</v>
      </c>
      <c r="J24" s="131"/>
    </row>
    <row r="25" spans="2:10" ht="18.45" customHeight="1" x14ac:dyDescent="0.3">
      <c r="B25" s="272" t="s">
        <v>112</v>
      </c>
      <c r="C25" s="272">
        <v>35</v>
      </c>
      <c r="D25" s="273">
        <f t="shared" si="9"/>
        <v>240</v>
      </c>
      <c r="E25" s="273">
        <f t="shared" si="0"/>
        <v>8400</v>
      </c>
      <c r="F25" s="272">
        <v>412500</v>
      </c>
      <c r="G25" s="274">
        <f t="shared" si="1"/>
        <v>2.3121160486076859</v>
      </c>
      <c r="H25" s="272">
        <f t="shared" si="2"/>
        <v>19421.774808304563</v>
      </c>
      <c r="I25" s="275">
        <f t="shared" si="3"/>
        <v>4.7083090444374698E-2</v>
      </c>
      <c r="J25" s="131"/>
    </row>
    <row r="26" spans="2:10" ht="18.45" customHeight="1" x14ac:dyDescent="0.3">
      <c r="B26" s="272" t="s">
        <v>113</v>
      </c>
      <c r="C26" s="272">
        <v>35</v>
      </c>
      <c r="D26" s="273">
        <f t="shared" si="9"/>
        <v>240</v>
      </c>
      <c r="E26" s="273">
        <f t="shared" si="0"/>
        <v>8400</v>
      </c>
      <c r="F26" s="272">
        <v>412500</v>
      </c>
      <c r="G26" s="274">
        <f t="shared" si="1"/>
        <v>2.3121160486076859</v>
      </c>
      <c r="H26" s="272">
        <f t="shared" si="2"/>
        <v>19421.774808304563</v>
      </c>
      <c r="I26" s="275">
        <f t="shared" si="3"/>
        <v>4.7083090444374698E-2</v>
      </c>
      <c r="J26" s="131"/>
    </row>
    <row r="27" spans="2:10" ht="18.45" customHeight="1" x14ac:dyDescent="0.3">
      <c r="B27" s="272" t="s">
        <v>114</v>
      </c>
      <c r="C27" s="272">
        <v>35</v>
      </c>
      <c r="D27" s="273">
        <f t="shared" si="9"/>
        <v>240</v>
      </c>
      <c r="E27" s="273">
        <f t="shared" si="0"/>
        <v>8400</v>
      </c>
      <c r="F27" s="272">
        <v>412500</v>
      </c>
      <c r="G27" s="274">
        <f t="shared" si="1"/>
        <v>2.3121160486076859</v>
      </c>
      <c r="H27" s="272">
        <f t="shared" si="2"/>
        <v>19421.774808304563</v>
      </c>
      <c r="I27" s="275">
        <f t="shared" si="3"/>
        <v>4.7083090444374698E-2</v>
      </c>
      <c r="J27" s="131"/>
    </row>
    <row r="28" spans="2:10" ht="18.45" customHeight="1" x14ac:dyDescent="0.3">
      <c r="B28" s="272" t="s">
        <v>109</v>
      </c>
      <c r="C28" s="272">
        <v>47</v>
      </c>
      <c r="D28" s="273">
        <f t="shared" si="9"/>
        <v>240</v>
      </c>
      <c r="E28" s="273">
        <f t="shared" si="0"/>
        <v>11280</v>
      </c>
      <c r="F28" s="272">
        <v>412500</v>
      </c>
      <c r="G28" s="274">
        <f t="shared" si="1"/>
        <v>2.3121160486076859</v>
      </c>
      <c r="H28" s="272">
        <f t="shared" si="2"/>
        <v>26080.669028294698</v>
      </c>
      <c r="I28" s="275">
        <f t="shared" si="3"/>
        <v>6.3225864311017455E-2</v>
      </c>
      <c r="J28" s="131"/>
    </row>
    <row r="29" spans="2:10" ht="18.45" customHeight="1" x14ac:dyDescent="0.3">
      <c r="B29" s="272" t="s">
        <v>351</v>
      </c>
      <c r="C29" s="272">
        <v>40</v>
      </c>
      <c r="D29" s="273">
        <f t="shared" si="9"/>
        <v>240</v>
      </c>
      <c r="E29" s="273">
        <f t="shared" ref="E29:E31" si="10">D29*C29</f>
        <v>9600</v>
      </c>
      <c r="F29" s="272">
        <v>412500</v>
      </c>
      <c r="G29" s="274">
        <f t="shared" ref="G29:G31" si="11">F29/E$33</f>
        <v>2.3121160486076859</v>
      </c>
      <c r="H29" s="272">
        <f t="shared" ref="H29:H31" si="12">G29*E29</f>
        <v>22196.314066633786</v>
      </c>
      <c r="I29" s="275">
        <f t="shared" ref="I29:I31" si="13">H29/H$33</f>
        <v>5.3809246222142511E-2</v>
      </c>
      <c r="J29" s="131"/>
    </row>
    <row r="30" spans="2:10" ht="18.45" customHeight="1" x14ac:dyDescent="0.3">
      <c r="B30" s="272" t="s">
        <v>352</v>
      </c>
      <c r="C30" s="272">
        <v>47</v>
      </c>
      <c r="D30" s="273">
        <f t="shared" si="9"/>
        <v>240</v>
      </c>
      <c r="E30" s="273">
        <f t="shared" si="10"/>
        <v>11280</v>
      </c>
      <c r="F30" s="272">
        <v>412500</v>
      </c>
      <c r="G30" s="274">
        <f t="shared" si="11"/>
        <v>2.3121160486076859</v>
      </c>
      <c r="H30" s="272">
        <f t="shared" si="12"/>
        <v>26080.669028294698</v>
      </c>
      <c r="I30" s="275">
        <f t="shared" si="13"/>
        <v>6.3225864311017455E-2</v>
      </c>
      <c r="J30" s="131"/>
    </row>
    <row r="31" spans="2:10" ht="18.45" customHeight="1" x14ac:dyDescent="0.3">
      <c r="B31" s="272" t="s">
        <v>353</v>
      </c>
      <c r="C31" s="272">
        <v>47</v>
      </c>
      <c r="D31" s="273">
        <f t="shared" si="9"/>
        <v>240</v>
      </c>
      <c r="E31" s="273">
        <f t="shared" si="10"/>
        <v>11280</v>
      </c>
      <c r="F31" s="272">
        <v>412500</v>
      </c>
      <c r="G31" s="274">
        <f t="shared" si="11"/>
        <v>2.3121160486076859</v>
      </c>
      <c r="H31" s="272">
        <f t="shared" si="12"/>
        <v>26080.669028294698</v>
      </c>
      <c r="I31" s="275">
        <f t="shared" si="13"/>
        <v>6.3225864311017455E-2</v>
      </c>
      <c r="J31" s="131"/>
    </row>
    <row r="32" spans="2:10" ht="18.45" customHeight="1" x14ac:dyDescent="0.3">
      <c r="B32" s="272" t="s">
        <v>111</v>
      </c>
      <c r="C32" s="272">
        <v>50</v>
      </c>
      <c r="D32" s="273">
        <f t="shared" si="9"/>
        <v>240</v>
      </c>
      <c r="E32" s="273">
        <f t="shared" si="0"/>
        <v>12000</v>
      </c>
      <c r="F32" s="272">
        <v>412500</v>
      </c>
      <c r="G32" s="274">
        <f t="shared" si="1"/>
        <v>2.3121160486076859</v>
      </c>
      <c r="H32" s="272">
        <f t="shared" si="2"/>
        <v>27745.392583292232</v>
      </c>
      <c r="I32" s="275">
        <f t="shared" si="3"/>
        <v>6.7261557777678144E-2</v>
      </c>
      <c r="J32" s="131"/>
    </row>
    <row r="33" spans="2:9" ht="18.45" customHeight="1" x14ac:dyDescent="0.3">
      <c r="B33" s="272" t="s">
        <v>13</v>
      </c>
      <c r="C33" s="272">
        <f>SUM(C9:C32)</f>
        <v>740</v>
      </c>
      <c r="D33" s="273">
        <f>SUM(D9:D32)</f>
        <v>5936</v>
      </c>
      <c r="E33" s="273">
        <f>SUM(E9:E32)</f>
        <v>178408</v>
      </c>
      <c r="F33" s="272">
        <v>412500</v>
      </c>
      <c r="G33" s="274">
        <f t="shared" ref="G33" si="14">F33/E$33</f>
        <v>2.3121160486076859</v>
      </c>
      <c r="H33" s="272">
        <f>SUM(H9:H32)</f>
        <v>412500</v>
      </c>
      <c r="I33" s="275">
        <f>SUM(I9:I32)</f>
        <v>1</v>
      </c>
    </row>
    <row r="34" spans="2:9" ht="11.55" customHeight="1" x14ac:dyDescent="0.3">
      <c r="B34" s="13"/>
      <c r="C34" s="13"/>
      <c r="D34" s="13"/>
      <c r="E34" s="13"/>
    </row>
    <row r="35" spans="2:9" ht="18.45" customHeight="1" x14ac:dyDescent="0.3">
      <c r="B35" s="13" t="s">
        <v>9</v>
      </c>
      <c r="C35" s="13"/>
      <c r="D35" s="13"/>
      <c r="E35" s="13"/>
    </row>
    <row r="36" spans="2:9" ht="18.45" customHeight="1" x14ac:dyDescent="0.3">
      <c r="B36" s="17" t="s">
        <v>125</v>
      </c>
      <c r="C36" s="16">
        <f>QUARTILE(C9:C32,1)</f>
        <v>10</v>
      </c>
      <c r="D36" s="13"/>
      <c r="E36" s="13"/>
    </row>
    <row r="37" spans="2:9" ht="18.45" customHeight="1" x14ac:dyDescent="0.3">
      <c r="B37" s="17" t="s">
        <v>126</v>
      </c>
      <c r="C37" s="16">
        <f>QUARTILE(C9:C32,2)</f>
        <v>35</v>
      </c>
      <c r="D37" s="13"/>
      <c r="E37" s="13"/>
    </row>
    <row r="38" spans="2:9" ht="18.45" customHeight="1" x14ac:dyDescent="0.3">
      <c r="B38" s="17" t="s">
        <v>127</v>
      </c>
      <c r="C38" s="16">
        <f>QUARTILE(C9:C32,3)</f>
        <v>37</v>
      </c>
      <c r="D38" s="13"/>
      <c r="E38" s="13"/>
    </row>
    <row r="39" spans="2:9" ht="18.45" customHeight="1" x14ac:dyDescent="0.3">
      <c r="B39" s="17" t="s">
        <v>128</v>
      </c>
      <c r="C39" s="16">
        <f>QUARTILE(C9:C32,4)</f>
        <v>125</v>
      </c>
      <c r="D39" s="13"/>
      <c r="E39" s="13"/>
    </row>
    <row r="40" spans="2:9" ht="18.45" customHeight="1" x14ac:dyDescent="0.3">
      <c r="B40" s="17" t="s">
        <v>129</v>
      </c>
      <c r="C40" s="16">
        <f>C38-C36</f>
        <v>27</v>
      </c>
      <c r="D40" s="13"/>
      <c r="E40" s="13"/>
    </row>
    <row r="41" spans="2:9" ht="18.45" customHeight="1" x14ac:dyDescent="0.3">
      <c r="B41" s="17" t="s">
        <v>132</v>
      </c>
      <c r="C41" s="16">
        <f>C40*1.5+C38</f>
        <v>77.5</v>
      </c>
      <c r="D41" s="13"/>
      <c r="E41" s="13"/>
    </row>
    <row r="42" spans="2:9" ht="11.55" customHeight="1" x14ac:dyDescent="0.3">
      <c r="B42" s="13"/>
      <c r="C42" s="13"/>
      <c r="D42" s="13"/>
      <c r="E42" s="13"/>
    </row>
    <row r="43" spans="2:9" ht="18.45" customHeight="1" x14ac:dyDescent="0.3">
      <c r="B43" s="13" t="s">
        <v>181</v>
      </c>
      <c r="C43" s="13"/>
      <c r="D43" s="13"/>
      <c r="E43" s="13"/>
    </row>
    <row r="44" spans="2:9" ht="18.45" customHeight="1" x14ac:dyDescent="0.3">
      <c r="B44" s="17" t="s">
        <v>125</v>
      </c>
      <c r="C44" s="16">
        <f>QUARTILE(E9:E32,1)</f>
        <v>3300</v>
      </c>
      <c r="D44" s="13"/>
      <c r="E44" s="13"/>
    </row>
    <row r="45" spans="2:9" ht="18.45" customHeight="1" x14ac:dyDescent="0.3">
      <c r="B45" s="17" t="s">
        <v>126</v>
      </c>
      <c r="C45" s="16">
        <f>QUARTILE(E9:E32,2)</f>
        <v>8400</v>
      </c>
      <c r="D45" s="13"/>
      <c r="E45" s="13"/>
    </row>
    <row r="46" spans="2:9" ht="18.45" customHeight="1" x14ac:dyDescent="0.3">
      <c r="B46" s="17" t="s">
        <v>127</v>
      </c>
      <c r="C46" s="16">
        <f>QUARTILE(E9:E32,3)</f>
        <v>8880</v>
      </c>
      <c r="D46" s="13"/>
      <c r="E46" s="13"/>
    </row>
    <row r="47" spans="2:9" ht="18.45" customHeight="1" x14ac:dyDescent="0.3">
      <c r="B47" s="17" t="s">
        <v>128</v>
      </c>
      <c r="C47" s="16">
        <f>QUARTILE(E9:E32,4)</f>
        <v>30000</v>
      </c>
      <c r="D47" s="13"/>
      <c r="E47" s="13"/>
    </row>
    <row r="48" spans="2:9" ht="18.45" customHeight="1" x14ac:dyDescent="0.3">
      <c r="B48" s="17" t="s">
        <v>129</v>
      </c>
      <c r="C48" s="16">
        <f>C46-C44</f>
        <v>5580</v>
      </c>
      <c r="D48" s="13"/>
      <c r="E48" s="13"/>
    </row>
    <row r="49" spans="2:5" ht="18.45" customHeight="1" x14ac:dyDescent="0.3">
      <c r="B49" s="17" t="s">
        <v>132</v>
      </c>
      <c r="C49" s="16">
        <f>C48*1.5+C46</f>
        <v>17250</v>
      </c>
      <c r="D49" s="13"/>
      <c r="E49" s="13"/>
    </row>
    <row r="51" spans="2:5" ht="18.45" customHeight="1" x14ac:dyDescent="0.3">
      <c r="B51" s="17" t="s">
        <v>179</v>
      </c>
      <c r="C51" s="18">
        <f>AVERAGE(I10:I32)</f>
        <v>4.1372681669568347E-2</v>
      </c>
    </row>
    <row r="52" spans="2:5" ht="18.45" customHeight="1" x14ac:dyDescent="0.3">
      <c r="B52" s="17" t="s">
        <v>180</v>
      </c>
      <c r="C52" s="18">
        <f>MEDIAN(I10:I32)</f>
        <v>4.7083090444374698E-2</v>
      </c>
    </row>
  </sheetData>
  <sheetProtection algorithmName="SHA-512" hashValue="eaTGSPCDAa2+a9TVZS1JqqK7BdYXc1P84oUFEm1UBk5RQ99eZq9JL2EVAJH/DqgIWK+k5aeXKKIzoCWJIY0ajg==" saltValue="A5Vy5SZylFtfyf+keBDAjQ==" spinCount="100000" sheet="1" objects="1" scenarios="1"/>
  <sortState xmlns:xlrd2="http://schemas.microsoft.com/office/spreadsheetml/2017/richdata2" ref="B9:I32">
    <sortCondition ref="C9:C32"/>
  </sortState>
  <mergeCells count="3">
    <mergeCell ref="C2:G2"/>
    <mergeCell ref="C3:G3"/>
    <mergeCell ref="C4:G4"/>
  </mergeCells>
  <conditionalFormatting sqref="C9:C32">
    <cfRule type="cellIs" dxfId="2" priority="1" operator="greaterThan">
      <formula>$C$41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88F52-72D7-469D-BF19-F9F1B0CC4324}">
  <sheetPr codeName="Sheet6"/>
  <dimension ref="B2:K34"/>
  <sheetViews>
    <sheetView showGridLines="0" rightToLeft="1" workbookViewId="0">
      <selection activeCell="I2" sqref="I2"/>
    </sheetView>
  </sheetViews>
  <sheetFormatPr defaultColWidth="8.6640625" defaultRowHeight="18" x14ac:dyDescent="0.35"/>
  <cols>
    <col min="1" max="1" width="3.21875" style="21" customWidth="1"/>
    <col min="2" max="2" width="39.21875" style="21" bestFit="1" customWidth="1"/>
    <col min="3" max="3" width="19.44140625" style="21" bestFit="1" customWidth="1"/>
    <col min="4" max="5" width="18.21875" style="21" bestFit="1" customWidth="1"/>
    <col min="6" max="11" width="8.88671875" style="21" bestFit="1" customWidth="1"/>
    <col min="12" max="16384" width="8.6640625" style="21"/>
  </cols>
  <sheetData>
    <row r="2" spans="2:11" ht="25.2" thickBot="1" x14ac:dyDescent="0.4">
      <c r="B2" s="293" t="s">
        <v>144</v>
      </c>
      <c r="C2" s="293"/>
      <c r="D2" s="293"/>
      <c r="E2" s="293"/>
      <c r="F2" s="293"/>
      <c r="G2" s="20"/>
      <c r="H2" s="20"/>
      <c r="I2" s="20"/>
      <c r="J2" s="20"/>
      <c r="K2" s="20"/>
    </row>
    <row r="3" spans="2:11" ht="19.2" thickTop="1" thickBot="1" x14ac:dyDescent="0.4">
      <c r="B3" s="165" t="s">
        <v>157</v>
      </c>
      <c r="C3" s="166" t="str">
        <f>'SCENARIO-1 '!D2</f>
        <v>ABC</v>
      </c>
      <c r="D3" s="166"/>
      <c r="E3" s="166"/>
      <c r="F3" s="166"/>
      <c r="G3" s="20"/>
      <c r="H3" s="20"/>
      <c r="I3" s="20"/>
      <c r="J3" s="20"/>
      <c r="K3" s="20"/>
    </row>
    <row r="4" spans="2:11" x14ac:dyDescent="0.35">
      <c r="B4" s="210"/>
      <c r="C4" s="38"/>
      <c r="D4" s="38"/>
      <c r="E4" s="114" t="s">
        <v>316</v>
      </c>
      <c r="F4" s="114" t="s">
        <v>316</v>
      </c>
      <c r="G4" s="20"/>
      <c r="H4" s="20"/>
      <c r="I4" s="20"/>
      <c r="J4" s="20"/>
      <c r="K4" s="20"/>
    </row>
    <row r="5" spans="2:11" ht="22.8" x14ac:dyDescent="0.35">
      <c r="B5" s="4"/>
      <c r="C5" s="4"/>
      <c r="D5" s="4"/>
      <c r="E5" s="237" t="s">
        <v>379</v>
      </c>
      <c r="F5" s="237" t="s">
        <v>380</v>
      </c>
      <c r="G5" s="20"/>
      <c r="H5" s="20"/>
      <c r="I5" s="20"/>
      <c r="J5" s="20"/>
      <c r="K5" s="20"/>
    </row>
    <row r="6" spans="2:11" ht="18.600000000000001" thickBot="1" x14ac:dyDescent="0.4">
      <c r="B6" s="22" t="s">
        <v>348</v>
      </c>
      <c r="C6" s="37" t="s">
        <v>171</v>
      </c>
      <c r="D6" s="20"/>
      <c r="E6" s="236">
        <v>0.1</v>
      </c>
      <c r="F6" s="236">
        <v>0.15</v>
      </c>
      <c r="G6" s="20"/>
      <c r="H6" s="20"/>
      <c r="I6" s="20"/>
      <c r="J6" s="20"/>
      <c r="K6" s="20"/>
    </row>
    <row r="7" spans="2:11" ht="18.600000000000001" thickBot="1" x14ac:dyDescent="0.4">
      <c r="B7" s="29" t="s">
        <v>173</v>
      </c>
      <c r="C7" s="22">
        <v>1</v>
      </c>
      <c r="D7" s="22">
        <v>2</v>
      </c>
      <c r="E7" s="22">
        <v>3</v>
      </c>
      <c r="F7" s="22">
        <v>4</v>
      </c>
      <c r="G7" s="22">
        <v>5</v>
      </c>
      <c r="H7" s="22">
        <v>6</v>
      </c>
      <c r="I7" s="22">
        <v>7</v>
      </c>
      <c r="J7" s="22">
        <v>8</v>
      </c>
      <c r="K7" s="22">
        <v>9</v>
      </c>
    </row>
    <row r="8" spans="2:11" x14ac:dyDescent="0.35">
      <c r="B8" s="23" t="s">
        <v>145</v>
      </c>
      <c r="C8" s="24">
        <f>'SCENARIO-1 '!C176*12</f>
        <v>11160000</v>
      </c>
      <c r="D8" s="24">
        <f>C8*(1+E6)</f>
        <v>12276000.000000002</v>
      </c>
      <c r="E8" s="24">
        <f>D8*(1+E6)</f>
        <v>13503600.000000004</v>
      </c>
      <c r="F8" s="24"/>
      <c r="G8" s="24"/>
      <c r="H8" s="24"/>
      <c r="I8" s="24"/>
      <c r="J8" s="24"/>
      <c r="K8" s="24"/>
    </row>
    <row r="9" spans="2:11" x14ac:dyDescent="0.35">
      <c r="B9" s="23" t="s">
        <v>146</v>
      </c>
      <c r="C9" s="24">
        <f>-('SCENARIO-1 '!C191-'SCENARIO-1 '!C181)*12</f>
        <v>-8663528.3954335637</v>
      </c>
      <c r="D9" s="24">
        <f>C9*(1+F6)</f>
        <v>-9963057.6547485981</v>
      </c>
      <c r="E9" s="24">
        <f>D9*(1+F6)</f>
        <v>-11457516.302960888</v>
      </c>
      <c r="F9" s="24"/>
      <c r="G9" s="24"/>
      <c r="H9" s="24"/>
      <c r="I9" s="24"/>
      <c r="J9" s="24"/>
      <c r="K9" s="24"/>
    </row>
    <row r="10" spans="2:11" x14ac:dyDescent="0.35">
      <c r="B10" s="25" t="s">
        <v>158</v>
      </c>
      <c r="C10" s="26">
        <f>C8+C9</f>
        <v>2496471.6045664363</v>
      </c>
      <c r="D10" s="26">
        <f t="shared" ref="D10:E10" si="0">D8+D9</f>
        <v>2312942.3452514037</v>
      </c>
      <c r="E10" s="26">
        <f t="shared" si="0"/>
        <v>2046083.6970391162</v>
      </c>
      <c r="F10" s="26"/>
      <c r="G10" s="26"/>
      <c r="H10" s="26"/>
      <c r="I10" s="26"/>
      <c r="J10" s="26"/>
      <c r="K10" s="26"/>
    </row>
    <row r="11" spans="2:11" x14ac:dyDescent="0.35">
      <c r="B11" s="23" t="s">
        <v>141</v>
      </c>
      <c r="C11" s="24">
        <f>-'SCENARIO-1 '!$C$181*12</f>
        <v>-723400</v>
      </c>
      <c r="D11" s="24">
        <f>-'SCENARIO-1 '!$C$181*12</f>
        <v>-723400</v>
      </c>
      <c r="E11" s="24">
        <f>-'SCENARIO-1 '!$C$181*12</f>
        <v>-723400</v>
      </c>
      <c r="F11" s="24"/>
      <c r="G11" s="24"/>
      <c r="H11" s="24"/>
      <c r="I11" s="24"/>
      <c r="J11" s="24"/>
      <c r="K11" s="24"/>
    </row>
    <row r="12" spans="2:11" x14ac:dyDescent="0.35">
      <c r="B12" s="25" t="s">
        <v>147</v>
      </c>
      <c r="C12" s="26">
        <f>C10+C11</f>
        <v>1773071.6045664363</v>
      </c>
      <c r="D12" s="26">
        <f>D10+D11</f>
        <v>1589542.3452514037</v>
      </c>
      <c r="E12" s="26">
        <f>E10+E11</f>
        <v>1322683.6970391162</v>
      </c>
      <c r="F12" s="26">
        <f t="shared" ref="F12:K12" si="1">SUM(F8:F11)</f>
        <v>0</v>
      </c>
      <c r="G12" s="26">
        <f t="shared" si="1"/>
        <v>0</v>
      </c>
      <c r="H12" s="26">
        <f t="shared" si="1"/>
        <v>0</v>
      </c>
      <c r="I12" s="26">
        <f t="shared" si="1"/>
        <v>0</v>
      </c>
      <c r="J12" s="26">
        <f t="shared" si="1"/>
        <v>0</v>
      </c>
      <c r="K12" s="26">
        <f t="shared" si="1"/>
        <v>0</v>
      </c>
    </row>
    <row r="13" spans="2:11" x14ac:dyDescent="0.35">
      <c r="B13" s="23" t="s">
        <v>142</v>
      </c>
      <c r="C13" s="24">
        <f>'C.F'!D12</f>
        <v>0</v>
      </c>
      <c r="D13" s="24">
        <f>'C.F'!E12</f>
        <v>0</v>
      </c>
      <c r="E13" s="24">
        <f>'C.F'!F12</f>
        <v>0</v>
      </c>
      <c r="F13" s="24"/>
      <c r="G13" s="24"/>
      <c r="H13" s="24"/>
      <c r="I13" s="24"/>
      <c r="J13" s="24"/>
      <c r="K13" s="24"/>
    </row>
    <row r="14" spans="2:11" x14ac:dyDescent="0.35">
      <c r="B14" s="25" t="s">
        <v>148</v>
      </c>
      <c r="C14" s="26">
        <f>C12+C13</f>
        <v>1773071.6045664363</v>
      </c>
      <c r="D14" s="26">
        <f t="shared" ref="D14:E14" si="2">D12+D13</f>
        <v>1589542.3452514037</v>
      </c>
      <c r="E14" s="26">
        <f t="shared" si="2"/>
        <v>1322683.6970391162</v>
      </c>
      <c r="F14" s="26">
        <f t="shared" ref="F14:K14" si="3">SUM(F12:F13)</f>
        <v>0</v>
      </c>
      <c r="G14" s="26">
        <f t="shared" si="3"/>
        <v>0</v>
      </c>
      <c r="H14" s="26">
        <f t="shared" si="3"/>
        <v>0</v>
      </c>
      <c r="I14" s="26">
        <f t="shared" si="3"/>
        <v>0</v>
      </c>
      <c r="J14" s="26">
        <f t="shared" si="3"/>
        <v>0</v>
      </c>
      <c r="K14" s="26">
        <f t="shared" si="3"/>
        <v>0</v>
      </c>
    </row>
    <row r="15" spans="2:11" x14ac:dyDescent="0.35">
      <c r="B15" s="23" t="s">
        <v>143</v>
      </c>
      <c r="C15" s="24">
        <f>-(C8*20%)*(22.5%)</f>
        <v>-502200</v>
      </c>
      <c r="D15" s="24">
        <f t="shared" ref="D15:E15" si="4">-(D8*20%)*(22.5%)</f>
        <v>-552420.00000000012</v>
      </c>
      <c r="E15" s="24">
        <f t="shared" si="4"/>
        <v>-607662.00000000023</v>
      </c>
      <c r="F15" s="24"/>
      <c r="G15" s="24"/>
      <c r="H15" s="24"/>
      <c r="I15" s="24"/>
      <c r="J15" s="24"/>
      <c r="K15" s="24"/>
    </row>
    <row r="16" spans="2:11" ht="18.600000000000001" thickBot="1" x14ac:dyDescent="0.4">
      <c r="B16" s="230" t="s">
        <v>77</v>
      </c>
      <c r="C16" s="231">
        <f>C14+C15</f>
        <v>1270871.6045664363</v>
      </c>
      <c r="D16" s="231">
        <f t="shared" ref="D16:K16" si="5">D14+D15</f>
        <v>1037122.3452514036</v>
      </c>
      <c r="E16" s="231">
        <f t="shared" si="5"/>
        <v>715021.69703911594</v>
      </c>
      <c r="F16" s="231">
        <f t="shared" si="5"/>
        <v>0</v>
      </c>
      <c r="G16" s="231">
        <f t="shared" si="5"/>
        <v>0</v>
      </c>
      <c r="H16" s="231">
        <f t="shared" si="5"/>
        <v>0</v>
      </c>
      <c r="I16" s="231">
        <f t="shared" si="5"/>
        <v>0</v>
      </c>
      <c r="J16" s="231">
        <f t="shared" si="5"/>
        <v>0</v>
      </c>
      <c r="K16" s="231">
        <f t="shared" si="5"/>
        <v>0</v>
      </c>
    </row>
    <row r="17" spans="2:11" x14ac:dyDescent="0.35">
      <c r="B17" s="218" t="s">
        <v>184</v>
      </c>
      <c r="C17" s="219">
        <f>C8*3%</f>
        <v>334800</v>
      </c>
      <c r="D17" s="219">
        <f t="shared" ref="D17:E17" si="6">D8*3%</f>
        <v>368280.00000000006</v>
      </c>
      <c r="E17" s="219">
        <f t="shared" si="6"/>
        <v>405108.00000000012</v>
      </c>
      <c r="F17" s="219">
        <f t="shared" ref="F17:K17" si="7">F8*3%</f>
        <v>0</v>
      </c>
      <c r="G17" s="219">
        <f t="shared" si="7"/>
        <v>0</v>
      </c>
      <c r="H17" s="219">
        <f t="shared" si="7"/>
        <v>0</v>
      </c>
      <c r="I17" s="219">
        <f t="shared" si="7"/>
        <v>0</v>
      </c>
      <c r="J17" s="219">
        <f t="shared" si="7"/>
        <v>0</v>
      </c>
      <c r="K17" s="219">
        <f t="shared" si="7"/>
        <v>0</v>
      </c>
    </row>
    <row r="18" spans="2:11" x14ac:dyDescent="0.35">
      <c r="B18" s="218" t="s">
        <v>185</v>
      </c>
      <c r="C18" s="219">
        <f>C15+C17</f>
        <v>-167400</v>
      </c>
      <c r="D18" s="219">
        <f t="shared" ref="D18:E18" si="8">D15+D17</f>
        <v>-184140.00000000006</v>
      </c>
      <c r="E18" s="219">
        <f t="shared" si="8"/>
        <v>-202554.00000000012</v>
      </c>
      <c r="F18" s="219">
        <f t="shared" ref="F18:K18" si="9">F15-F17</f>
        <v>0</v>
      </c>
      <c r="G18" s="219">
        <f t="shared" si="9"/>
        <v>0</v>
      </c>
      <c r="H18" s="219">
        <f t="shared" si="9"/>
        <v>0</v>
      </c>
      <c r="I18" s="219">
        <f t="shared" si="9"/>
        <v>0</v>
      </c>
      <c r="J18" s="219">
        <f t="shared" si="9"/>
        <v>0</v>
      </c>
      <c r="K18" s="219">
        <f t="shared" si="9"/>
        <v>0</v>
      </c>
    </row>
    <row r="19" spans="2:11" x14ac:dyDescent="0.35">
      <c r="B19" s="229" t="s">
        <v>382</v>
      </c>
      <c r="C19" s="219">
        <f>C16-C13</f>
        <v>1270871.6045664363</v>
      </c>
      <c r="D19" s="219">
        <f t="shared" ref="D19:E19" si="10">D16-D13</f>
        <v>1037122.3452514036</v>
      </c>
      <c r="E19" s="219">
        <f t="shared" si="10"/>
        <v>715021.69703911594</v>
      </c>
      <c r="F19" s="219">
        <f t="shared" ref="F19:K19" si="11">F16+F13</f>
        <v>0</v>
      </c>
      <c r="G19" s="219">
        <f t="shared" si="11"/>
        <v>0</v>
      </c>
      <c r="H19" s="219">
        <f t="shared" si="11"/>
        <v>0</v>
      </c>
      <c r="I19" s="219">
        <f t="shared" si="11"/>
        <v>0</v>
      </c>
      <c r="J19" s="219">
        <f t="shared" si="11"/>
        <v>0</v>
      </c>
      <c r="K19" s="219">
        <f t="shared" si="11"/>
        <v>0</v>
      </c>
    </row>
    <row r="20" spans="2:11" x14ac:dyDescent="0.35">
      <c r="B20" s="218" t="s">
        <v>383</v>
      </c>
      <c r="C20" s="219">
        <f>('D.C.F'!$C$7*'D.C.F'!D9)</f>
        <v>-992866.5</v>
      </c>
      <c r="D20" s="219">
        <f>(('C.F'!$C$8-'P&amp;L'!D11)-'C.F'!C24)*'D.C.F'!E9</f>
        <v>-775942.30506407027</v>
      </c>
      <c r="E20" s="219">
        <f>(('C.F'!$C$8-'P&amp;L'!E11-D11)-'C.F'!D24)*'D.C.F'!F9</f>
        <v>-440817.75082368078</v>
      </c>
      <c r="F20" s="219">
        <f>('D.C.F'!$C$7*'D.C.F'!O3)</f>
        <v>0</v>
      </c>
      <c r="G20" s="219">
        <f>('D.C.F'!$C$7*'D.C.F'!P3)</f>
        <v>0</v>
      </c>
      <c r="H20" s="219">
        <f>('D.C.F'!$C$7*'D.C.F'!Q3)</f>
        <v>0</v>
      </c>
      <c r="I20" s="219">
        <f>('D.C.F'!$C$7*'D.C.F'!R3)</f>
        <v>0</v>
      </c>
      <c r="J20" s="219">
        <f>('D.C.F'!$C$7*'D.C.F'!S3)</f>
        <v>0</v>
      </c>
      <c r="K20" s="219">
        <f>('D.C.F'!$C$7*'D.C.F'!T3)</f>
        <v>0</v>
      </c>
    </row>
    <row r="21" spans="2:11" ht="18.600000000000001" thickBot="1" x14ac:dyDescent="0.4">
      <c r="B21" s="28" t="s">
        <v>384</v>
      </c>
      <c r="C21" s="28">
        <f>C19+C20</f>
        <v>278005.10456643626</v>
      </c>
      <c r="D21" s="28">
        <f t="shared" ref="D21:K21" si="12">D19+D20</f>
        <v>261180.04018733336</v>
      </c>
      <c r="E21" s="28">
        <f t="shared" si="12"/>
        <v>274203.94621543516</v>
      </c>
      <c r="F21" s="28">
        <f t="shared" si="12"/>
        <v>0</v>
      </c>
      <c r="G21" s="28">
        <f t="shared" si="12"/>
        <v>0</v>
      </c>
      <c r="H21" s="28">
        <f t="shared" si="12"/>
        <v>0</v>
      </c>
      <c r="I21" s="28">
        <f t="shared" si="12"/>
        <v>0</v>
      </c>
      <c r="J21" s="28">
        <f t="shared" si="12"/>
        <v>0</v>
      </c>
      <c r="K21" s="28">
        <f t="shared" si="12"/>
        <v>0</v>
      </c>
    </row>
    <row r="22" spans="2:11" x14ac:dyDescent="0.35">
      <c r="B22" s="218" t="s">
        <v>393</v>
      </c>
      <c r="C22" s="234">
        <f>IFERROR(-(C21/'D.C.F'!$C$7),0)</f>
        <v>0.12810114485597468</v>
      </c>
      <c r="D22" s="234">
        <f>IFERROR(-(D21/(('C.F'!$C$8-'P&amp;L'!D11)-'C.F'!C24)),0)</f>
        <v>0.15399323842233173</v>
      </c>
      <c r="E22" s="234">
        <f>IFERROR(-(E21/(('C.F'!$C$8-'P&amp;L'!E11-D11)-'C.F'!D24)),0)</f>
        <v>0.28458088441120571</v>
      </c>
    </row>
    <row r="26" spans="2:11" ht="18.600000000000001" thickBot="1" x14ac:dyDescent="0.4">
      <c r="B26" s="198"/>
      <c r="C26" s="198"/>
      <c r="D26" s="198"/>
      <c r="E26" s="198"/>
      <c r="F26" s="198"/>
      <c r="G26" s="198"/>
    </row>
    <row r="28" spans="2:11" x14ac:dyDescent="0.35">
      <c r="B28" s="239" t="s">
        <v>399</v>
      </c>
    </row>
    <row r="29" spans="2:11" x14ac:dyDescent="0.35">
      <c r="B29" s="50"/>
    </row>
    <row r="30" spans="2:11" ht="18.600000000000001" thickBot="1" x14ac:dyDescent="0.4">
      <c r="B30" s="29" t="s">
        <v>392</v>
      </c>
      <c r="C30" s="22">
        <v>1</v>
      </c>
      <c r="D30" s="22">
        <v>2</v>
      </c>
      <c r="E30" s="22">
        <v>3</v>
      </c>
    </row>
    <row r="31" spans="2:11" x14ac:dyDescent="0.35">
      <c r="B31" s="23" t="s">
        <v>145</v>
      </c>
      <c r="C31" s="148">
        <f>C8</f>
        <v>11160000</v>
      </c>
      <c r="D31" s="148">
        <f>D8</f>
        <v>12276000.000000002</v>
      </c>
      <c r="E31" s="148">
        <f>E8</f>
        <v>13503600.000000004</v>
      </c>
    </row>
    <row r="32" spans="2:11" x14ac:dyDescent="0.35">
      <c r="B32" s="23" t="s">
        <v>146</v>
      </c>
      <c r="C32" s="148">
        <f>-(C9+C11+C15)</f>
        <v>9889128.3954335637</v>
      </c>
      <c r="D32" s="148">
        <f>-(D9+D11+D15)</f>
        <v>11238877.654748598</v>
      </c>
      <c r="E32" s="148">
        <f>-(E9+E11+E15)</f>
        <v>12788578.302960888</v>
      </c>
    </row>
    <row r="33" spans="2:5" x14ac:dyDescent="0.35">
      <c r="B33" s="23" t="s">
        <v>77</v>
      </c>
      <c r="C33" s="148">
        <f>C31-C32</f>
        <v>1270871.6045664363</v>
      </c>
      <c r="D33" s="148">
        <f t="shared" ref="D33:E33" si="13">D31-D32</f>
        <v>1037122.3452514037</v>
      </c>
      <c r="E33" s="148">
        <f t="shared" si="13"/>
        <v>715021.69703911617</v>
      </c>
    </row>
    <row r="34" spans="2:5" x14ac:dyDescent="0.35">
      <c r="B34" s="23" t="s">
        <v>384</v>
      </c>
      <c r="C34" s="228">
        <f>C21</f>
        <v>278005.10456643626</v>
      </c>
      <c r="D34" s="228">
        <f t="shared" ref="D34:E34" si="14">D21</f>
        <v>261180.04018733336</v>
      </c>
      <c r="E34" s="228">
        <f t="shared" si="14"/>
        <v>274203.94621543516</v>
      </c>
    </row>
  </sheetData>
  <sheetProtection algorithmName="SHA-512" hashValue="UUaNx/yfRjKQJa8lyE1+nZWOQIr3cMIhXOmw/tepNaILSkl4XTk8Wex1a4uQlBnVvVFGdCdrnhGBqlKTfMxwMQ==" saltValue="bjnem3HL9Fc0BOjpf8334g==" spinCount="100000" sheet="1" objects="1" scenarios="1"/>
  <mergeCells count="1">
    <mergeCell ref="B2:F2"/>
  </mergeCells>
  <hyperlinks>
    <hyperlink ref="C6" r:id="rId1" xr:uid="{83069C70-B40F-49BD-A926-E34E9FE75AE4}"/>
  </hyperlinks>
  <pageMargins left="0.7" right="0.7" top="0.75" bottom="0.75" header="0.3" footer="0.3"/>
  <pageSetup paperSize="9"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0DEBE-2F80-4710-BFF9-5D1CEC61D3B5}">
  <sheetPr codeName="Sheet7"/>
  <dimension ref="B1:M25"/>
  <sheetViews>
    <sheetView showGridLines="0" rightToLeft="1" topLeftCell="A13" workbookViewId="0">
      <selection activeCell="I3" sqref="I3"/>
    </sheetView>
  </sheetViews>
  <sheetFormatPr defaultColWidth="8.6640625" defaultRowHeight="18" x14ac:dyDescent="0.35"/>
  <cols>
    <col min="1" max="1" width="3.109375" style="21" customWidth="1"/>
    <col min="2" max="2" width="28.77734375" style="21" bestFit="1" customWidth="1"/>
    <col min="3" max="3" width="15.44140625" style="21" bestFit="1" customWidth="1"/>
    <col min="4" max="4" width="15.5546875" style="21" bestFit="1" customWidth="1"/>
    <col min="5" max="6" width="14.6640625" style="21" bestFit="1" customWidth="1"/>
    <col min="7" max="13" width="6.77734375" style="21" bestFit="1" customWidth="1"/>
    <col min="14" max="16384" width="8.6640625" style="21"/>
  </cols>
  <sheetData>
    <row r="1" spans="2:13" ht="15" customHeight="1" x14ac:dyDescent="0.35"/>
    <row r="2" spans="2:13" ht="25.2" thickBot="1" x14ac:dyDescent="0.4">
      <c r="B2" s="293" t="s">
        <v>149</v>
      </c>
      <c r="C2" s="293"/>
      <c r="D2" s="293"/>
      <c r="E2" s="293"/>
      <c r="F2" s="293"/>
      <c r="G2" s="23"/>
      <c r="H2" s="23"/>
      <c r="I2" s="23"/>
      <c r="J2" s="23"/>
      <c r="K2" s="23"/>
      <c r="L2" s="23"/>
      <c r="M2" s="23"/>
    </row>
    <row r="3" spans="2:13" ht="19.2" thickTop="1" thickBot="1" x14ac:dyDescent="0.4">
      <c r="B3" s="165" t="s">
        <v>157</v>
      </c>
      <c r="C3" s="166" t="str">
        <f>'SCENARIO-1 '!D2</f>
        <v>ABC</v>
      </c>
      <c r="D3" s="166"/>
      <c r="E3" s="166"/>
      <c r="F3" s="166"/>
      <c r="G3" s="23"/>
      <c r="H3" s="23"/>
      <c r="I3" s="23"/>
      <c r="J3" s="23"/>
      <c r="K3" s="23"/>
      <c r="L3" s="23"/>
      <c r="M3" s="23"/>
    </row>
    <row r="4" spans="2:13" x14ac:dyDescent="0.35"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</row>
    <row r="5" spans="2:13" ht="18.600000000000001" thickBot="1" x14ac:dyDescent="0.4">
      <c r="B5" s="29" t="s">
        <v>173</v>
      </c>
      <c r="C5" s="22">
        <v>0</v>
      </c>
      <c r="D5" s="22">
        <v>1</v>
      </c>
      <c r="E5" s="22">
        <v>2</v>
      </c>
      <c r="F5" s="22">
        <v>3</v>
      </c>
      <c r="G5" s="22"/>
      <c r="H5" s="22"/>
      <c r="I5" s="22"/>
      <c r="J5" s="22"/>
      <c r="K5" s="22"/>
      <c r="L5" s="22"/>
      <c r="M5" s="22"/>
    </row>
    <row r="6" spans="2:13" x14ac:dyDescent="0.35">
      <c r="B6" s="23" t="s">
        <v>150</v>
      </c>
      <c r="C6" s="24"/>
      <c r="D6" s="24">
        <f>'P&amp;L'!C10</f>
        <v>2496471.6045664363</v>
      </c>
      <c r="E6" s="24">
        <f>'P&amp;L'!D10</f>
        <v>2312942.3452514037</v>
      </c>
      <c r="F6" s="24">
        <f>'P&amp;L'!E10</f>
        <v>2046083.6970391162</v>
      </c>
      <c r="G6" s="24">
        <f>'P&amp;L'!F10</f>
        <v>0</v>
      </c>
      <c r="H6" s="24">
        <f>'P&amp;L'!G10</f>
        <v>0</v>
      </c>
      <c r="I6" s="24">
        <f>'P&amp;L'!H10</f>
        <v>0</v>
      </c>
      <c r="J6" s="24">
        <f>'P&amp;L'!I10</f>
        <v>0</v>
      </c>
      <c r="K6" s="24">
        <f>'P&amp;L'!J10</f>
        <v>0</v>
      </c>
      <c r="L6" s="24">
        <f>'P&amp;L'!K10</f>
        <v>0</v>
      </c>
      <c r="M6" s="24">
        <f>'P&amp;L'!L10</f>
        <v>0</v>
      </c>
    </row>
    <row r="7" spans="2:13" x14ac:dyDescent="0.35">
      <c r="B7" s="23" t="s">
        <v>156</v>
      </c>
      <c r="C7" s="24"/>
      <c r="D7" s="24">
        <f>'P&amp;L'!C15</f>
        <v>-502200</v>
      </c>
      <c r="E7" s="24">
        <f>'P&amp;L'!D15</f>
        <v>-552420.00000000012</v>
      </c>
      <c r="F7" s="24">
        <f>'P&amp;L'!E15</f>
        <v>-607662.00000000023</v>
      </c>
      <c r="G7" s="24">
        <f>'P&amp;L'!F15</f>
        <v>0</v>
      </c>
      <c r="H7" s="24">
        <f>'P&amp;L'!G15</f>
        <v>0</v>
      </c>
      <c r="I7" s="24">
        <f>'P&amp;L'!H15</f>
        <v>0</v>
      </c>
      <c r="J7" s="24">
        <f>'P&amp;L'!I15</f>
        <v>0</v>
      </c>
      <c r="K7" s="24">
        <f>'P&amp;L'!J15</f>
        <v>0</v>
      </c>
      <c r="L7" s="24">
        <f>'P&amp;L'!K15</f>
        <v>0</v>
      </c>
      <c r="M7" s="24">
        <f>'P&amp;L'!L15</f>
        <v>0</v>
      </c>
    </row>
    <row r="8" spans="2:13" x14ac:dyDescent="0.35">
      <c r="B8" s="23" t="s">
        <v>151</v>
      </c>
      <c r="C8" s="24">
        <f>-'SCENARIO-1 '!H92</f>
        <v>-2170200</v>
      </c>
      <c r="D8" s="24">
        <v>0</v>
      </c>
      <c r="E8" s="24">
        <v>0</v>
      </c>
      <c r="F8" s="24">
        <v>0</v>
      </c>
      <c r="G8" s="24"/>
      <c r="H8" s="24"/>
      <c r="I8" s="24"/>
      <c r="J8" s="24"/>
      <c r="K8" s="24"/>
      <c r="L8" s="24"/>
      <c r="M8" s="24"/>
    </row>
    <row r="9" spans="2:13" x14ac:dyDescent="0.35">
      <c r="B9" s="23" t="s">
        <v>360</v>
      </c>
      <c r="C9" s="24"/>
      <c r="D9" s="24">
        <f>C25</f>
        <v>249248.75423840474</v>
      </c>
      <c r="E9" s="24">
        <f t="shared" ref="E9:F9" si="0">D25</f>
        <v>-9112.6868642391637</v>
      </c>
      <c r="F9" s="24">
        <f t="shared" si="0"/>
        <v>-15129.589893875062</v>
      </c>
      <c r="G9" s="24"/>
      <c r="H9" s="24"/>
      <c r="I9" s="24"/>
      <c r="J9" s="24"/>
      <c r="K9" s="24"/>
      <c r="L9" s="24"/>
      <c r="M9" s="24"/>
    </row>
    <row r="10" spans="2:13" x14ac:dyDescent="0.35">
      <c r="B10" s="232" t="s">
        <v>152</v>
      </c>
      <c r="C10" s="233"/>
      <c r="D10" s="233">
        <f>D6+D7-D8-D9</f>
        <v>1745022.8503280315</v>
      </c>
      <c r="E10" s="233">
        <f t="shared" ref="E10:M10" si="1">E6+E7-E8-E9</f>
        <v>1769635.0321156429</v>
      </c>
      <c r="F10" s="233">
        <f t="shared" si="1"/>
        <v>1453551.2869329909</v>
      </c>
      <c r="G10" s="233">
        <f t="shared" si="1"/>
        <v>0</v>
      </c>
      <c r="H10" s="233">
        <f t="shared" si="1"/>
        <v>0</v>
      </c>
      <c r="I10" s="233">
        <f t="shared" si="1"/>
        <v>0</v>
      </c>
      <c r="J10" s="233">
        <f t="shared" si="1"/>
        <v>0</v>
      </c>
      <c r="K10" s="233">
        <f t="shared" si="1"/>
        <v>0</v>
      </c>
      <c r="L10" s="233">
        <f t="shared" si="1"/>
        <v>0</v>
      </c>
      <c r="M10" s="233">
        <f t="shared" si="1"/>
        <v>0</v>
      </c>
    </row>
    <row r="11" spans="2:13" x14ac:dyDescent="0.35">
      <c r="B11" s="23" t="s">
        <v>153</v>
      </c>
      <c r="C11" s="24"/>
      <c r="D11" s="24">
        <f>-SUM(LOANS!F14:F25)</f>
        <v>0</v>
      </c>
      <c r="E11" s="24">
        <f>-SUM(LOANS!F26:F37)</f>
        <v>0</v>
      </c>
      <c r="F11" s="24">
        <f>-SUM(LOANS!F38:F49)</f>
        <v>0</v>
      </c>
      <c r="G11" s="24"/>
      <c r="H11" s="24"/>
      <c r="I11" s="24"/>
      <c r="J11" s="24"/>
      <c r="K11" s="24"/>
      <c r="L11" s="24"/>
      <c r="M11" s="24"/>
    </row>
    <row r="12" spans="2:13" x14ac:dyDescent="0.35">
      <c r="B12" s="23" t="s">
        <v>154</v>
      </c>
      <c r="C12" s="24"/>
      <c r="D12" s="24">
        <f>-SUM(LOANS!E14:E25)</f>
        <v>0</v>
      </c>
      <c r="E12" s="24">
        <f>-SUM(LOANS!E26:E37)</f>
        <v>0</v>
      </c>
      <c r="F12" s="24">
        <f>-SUM(LOANS!E38:E49)</f>
        <v>0</v>
      </c>
      <c r="G12" s="24"/>
      <c r="H12" s="24"/>
      <c r="I12" s="24"/>
      <c r="J12" s="24"/>
      <c r="K12" s="24"/>
      <c r="L12" s="24"/>
      <c r="M12" s="24"/>
    </row>
    <row r="13" spans="2:13" ht="18.600000000000001" thickBot="1" x14ac:dyDescent="0.4">
      <c r="B13" s="27" t="s">
        <v>155</v>
      </c>
      <c r="C13" s="28">
        <f t="shared" ref="C13:M13" si="2">SUM(C10:C12)</f>
        <v>0</v>
      </c>
      <c r="D13" s="28">
        <f t="shared" si="2"/>
        <v>1745022.8503280315</v>
      </c>
      <c r="E13" s="28">
        <f t="shared" si="2"/>
        <v>1769635.0321156429</v>
      </c>
      <c r="F13" s="28">
        <f t="shared" si="2"/>
        <v>1453551.2869329909</v>
      </c>
      <c r="G13" s="28">
        <f t="shared" si="2"/>
        <v>0</v>
      </c>
      <c r="H13" s="28">
        <f t="shared" si="2"/>
        <v>0</v>
      </c>
      <c r="I13" s="28">
        <f t="shared" si="2"/>
        <v>0</v>
      </c>
      <c r="J13" s="28">
        <f t="shared" si="2"/>
        <v>0</v>
      </c>
      <c r="K13" s="28">
        <f t="shared" si="2"/>
        <v>0</v>
      </c>
      <c r="L13" s="28">
        <f t="shared" si="2"/>
        <v>0</v>
      </c>
      <c r="M13" s="28">
        <f t="shared" si="2"/>
        <v>0</v>
      </c>
    </row>
    <row r="15" spans="2:13" ht="18.600000000000001" thickBot="1" x14ac:dyDescent="0.4">
      <c r="B15" s="198"/>
      <c r="C15" s="198"/>
      <c r="D15" s="198"/>
      <c r="E15" s="198"/>
      <c r="F15" s="198"/>
      <c r="G15" s="198"/>
    </row>
    <row r="17" spans="2:5" ht="18.600000000000001" thickBot="1" x14ac:dyDescent="0.4">
      <c r="B17" s="195" t="s">
        <v>360</v>
      </c>
    </row>
    <row r="18" spans="2:5" x14ac:dyDescent="0.35">
      <c r="B18" s="202"/>
    </row>
    <row r="19" spans="2:5" ht="18.600000000000001" thickBot="1" x14ac:dyDescent="0.4">
      <c r="C19" s="22">
        <v>1</v>
      </c>
      <c r="D19" s="22">
        <v>2</v>
      </c>
      <c r="E19" s="22">
        <v>3</v>
      </c>
    </row>
    <row r="20" spans="2:5" x14ac:dyDescent="0.35">
      <c r="B20" s="211" t="s">
        <v>361</v>
      </c>
      <c r="C20" s="212">
        <f>'SCENARIO-1 '!C176</f>
        <v>930000</v>
      </c>
      <c r="D20" s="212">
        <f>C20*(1+'P&amp;L'!E6)</f>
        <v>1023000.0000000001</v>
      </c>
      <c r="E20" s="212">
        <f>D20*(1+'P&amp;L'!E6)</f>
        <v>1125300.0000000002</v>
      </c>
    </row>
    <row r="21" spans="2:5" x14ac:dyDescent="0.35">
      <c r="B21" s="213" t="s">
        <v>362</v>
      </c>
      <c r="C21" s="214">
        <f>'SCENARIO-1 '!C178</f>
        <v>515474.08951159526</v>
      </c>
      <c r="D21" s="214">
        <f>C21*(1+'P&amp;L'!F$6)</f>
        <v>592795.20293833455</v>
      </c>
      <c r="E21" s="214">
        <f>D21*(1+'P&amp;L'!F$6)</f>
        <v>681714.48337908473</v>
      </c>
    </row>
    <row r="22" spans="2:5" x14ac:dyDescent="0.35">
      <c r="B22" s="213" t="s">
        <v>363</v>
      </c>
      <c r="C22" s="214">
        <f>'SCENARIO-1 '!C179</f>
        <v>148800</v>
      </c>
      <c r="D22" s="214">
        <f>C22*(1+'P&amp;L'!F$6)</f>
        <v>171120</v>
      </c>
      <c r="E22" s="214">
        <f>D22*(1+'P&amp;L'!F$6)</f>
        <v>196787.99999999997</v>
      </c>
    </row>
    <row r="23" spans="2:5" x14ac:dyDescent="0.35">
      <c r="B23" s="213" t="s">
        <v>364</v>
      </c>
      <c r="C23" s="214">
        <f>'SCENARIO-1 '!C184</f>
        <v>16477.15625</v>
      </c>
      <c r="D23" s="214">
        <f>C23*(1+'P&amp;L'!F$6)</f>
        <v>18948.729687499999</v>
      </c>
      <c r="E23" s="214">
        <f>D23*(1+'P&amp;L'!F$6)</f>
        <v>21791.039140624998</v>
      </c>
    </row>
    <row r="24" spans="2:5" x14ac:dyDescent="0.35">
      <c r="B24" s="23" t="s">
        <v>365</v>
      </c>
      <c r="C24" s="197">
        <f>C20-C21-C22-C23</f>
        <v>249248.75423840474</v>
      </c>
      <c r="D24" s="197">
        <f>D20-D21-D22-D23</f>
        <v>240136.06737416558</v>
      </c>
      <c r="E24" s="197">
        <f>E20-E21-E22-E23</f>
        <v>225006.47748029052</v>
      </c>
    </row>
    <row r="25" spans="2:5" ht="18.600000000000001" thickBot="1" x14ac:dyDescent="0.4">
      <c r="B25" s="195" t="s">
        <v>360</v>
      </c>
      <c r="C25" s="196">
        <f>C24</f>
        <v>249248.75423840474</v>
      </c>
      <c r="D25" s="196">
        <f>D24-C24</f>
        <v>-9112.6868642391637</v>
      </c>
      <c r="E25" s="196">
        <f>E24-D24</f>
        <v>-15129.589893875062</v>
      </c>
    </row>
  </sheetData>
  <sheetProtection algorithmName="SHA-512" hashValue="O6LtlJoX2Bxj5fSq9/QKHHxo6AYxZfEzziY8JDXA/n/It5/Z+inZmhsSRAH8p9dNLqOJWfRShb5mC3NxUUsGGw==" saltValue="z08HLwGUi43ehHlKqbjF+A==" spinCount="100000" sheet="1" objects="1" scenarios="1"/>
  <mergeCells count="1">
    <mergeCell ref="B2:F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0BA87-BBFF-4896-B527-CFB8502B617A}">
  <sheetPr codeName="Sheet8"/>
  <dimension ref="B2:N32"/>
  <sheetViews>
    <sheetView showGridLines="0" rightToLeft="1" workbookViewId="0">
      <selection activeCell="I3" sqref="I3"/>
    </sheetView>
  </sheetViews>
  <sheetFormatPr defaultColWidth="8.6640625" defaultRowHeight="18" x14ac:dyDescent="0.35"/>
  <cols>
    <col min="1" max="1" width="2.5546875" style="21" customWidth="1"/>
    <col min="2" max="2" width="34.88671875" style="21" bestFit="1" customWidth="1"/>
    <col min="3" max="4" width="15.44140625" style="21" bestFit="1" customWidth="1"/>
    <col min="5" max="6" width="14.5546875" style="21" bestFit="1" customWidth="1"/>
    <col min="7" max="7" width="12.33203125" style="21" bestFit="1" customWidth="1"/>
    <col min="8" max="10" width="6.77734375" style="21" bestFit="1" customWidth="1"/>
    <col min="11" max="11" width="15.44140625" style="21" bestFit="1" customWidth="1"/>
    <col min="12" max="12" width="8.88671875" style="21" bestFit="1" customWidth="1"/>
    <col min="13" max="13" width="12.5546875" style="21" bestFit="1" customWidth="1"/>
    <col min="14" max="14" width="14.77734375" style="21" bestFit="1" customWidth="1"/>
    <col min="15" max="15" width="9" style="21" bestFit="1" customWidth="1"/>
    <col min="16" max="16384" width="8.6640625" style="21"/>
  </cols>
  <sheetData>
    <row r="2" spans="2:14" ht="25.2" thickBot="1" x14ac:dyDescent="0.4">
      <c r="B2" s="293" t="s">
        <v>159</v>
      </c>
      <c r="C2" s="293"/>
      <c r="D2" s="293"/>
      <c r="E2" s="293"/>
      <c r="F2" s="293"/>
      <c r="G2" s="20"/>
      <c r="H2" s="20"/>
      <c r="I2" s="20"/>
      <c r="J2" s="20"/>
      <c r="K2" s="20"/>
      <c r="L2" s="227">
        <v>1</v>
      </c>
      <c r="M2" s="227">
        <v>2</v>
      </c>
      <c r="N2" s="101">
        <v>3</v>
      </c>
    </row>
    <row r="3" spans="2:14" ht="19.2" thickTop="1" thickBot="1" x14ac:dyDescent="0.4">
      <c r="B3" s="167" t="s">
        <v>157</v>
      </c>
      <c r="C3" s="162" t="str">
        <f>'SCENARIO-1 '!D2</f>
        <v>ABC</v>
      </c>
      <c r="D3" s="162"/>
      <c r="E3" s="162"/>
      <c r="F3" s="162"/>
      <c r="G3" s="20"/>
      <c r="H3" s="20"/>
      <c r="I3" s="48"/>
      <c r="J3" s="48"/>
      <c r="K3" s="49" t="s">
        <v>212</v>
      </c>
      <c r="L3" s="222">
        <v>0.24840000000000001</v>
      </c>
      <c r="M3" s="222">
        <v>0.2</v>
      </c>
      <c r="N3" s="223">
        <v>0.15</v>
      </c>
    </row>
    <row r="4" spans="2:14" ht="18.600000000000001" thickBot="1" x14ac:dyDescent="0.4">
      <c r="B4" s="294" t="s">
        <v>172</v>
      </c>
      <c r="C4" s="294"/>
      <c r="D4" s="294"/>
      <c r="E4" s="294"/>
      <c r="F4" s="294"/>
      <c r="G4" s="23"/>
      <c r="H4" s="23"/>
      <c r="I4" s="23"/>
      <c r="J4" s="23"/>
      <c r="K4" s="23"/>
      <c r="L4" s="23"/>
      <c r="M4" s="23"/>
      <c r="N4" s="20"/>
    </row>
    <row r="5" spans="2:14" x14ac:dyDescent="0.35">
      <c r="B5" s="43"/>
      <c r="C5" s="43"/>
      <c r="D5" s="43"/>
      <c r="E5" s="43"/>
      <c r="F5" s="43"/>
      <c r="G5" s="23"/>
      <c r="H5" s="23"/>
      <c r="I5" s="23"/>
      <c r="J5" s="23"/>
      <c r="K5" s="23"/>
      <c r="L5" s="23"/>
      <c r="M5" s="23"/>
      <c r="N5" s="20"/>
    </row>
    <row r="6" spans="2:14" ht="18.600000000000001" thickBot="1" x14ac:dyDescent="0.4">
      <c r="B6" s="29" t="s">
        <v>173</v>
      </c>
      <c r="C6" s="22">
        <v>0</v>
      </c>
      <c r="D6" s="22">
        <f>IF('C.F'!D5=0,"",'C.F'!D5)</f>
        <v>1</v>
      </c>
      <c r="E6" s="22">
        <f>IF('C.F'!E5=0,"",'C.F'!E5)</f>
        <v>2</v>
      </c>
      <c r="F6" s="22">
        <f>IF('C.F'!F5=0,"",'C.F'!F5)</f>
        <v>3</v>
      </c>
      <c r="G6" s="22" t="str">
        <f>IF('C.F'!G5=0,"",'C.F'!G5)</f>
        <v/>
      </c>
      <c r="H6" s="22" t="str">
        <f>IF('C.F'!H5=0,"",'C.F'!H5)</f>
        <v/>
      </c>
      <c r="I6" s="22" t="str">
        <f>IF('C.F'!I5=0,"",'C.F'!I5)</f>
        <v/>
      </c>
      <c r="J6" s="22" t="str">
        <f>IF('C.F'!J5=0,"",'C.F'!J5)</f>
        <v/>
      </c>
      <c r="K6" s="22" t="str">
        <f>IF('C.F'!K5=0,"",'C.F'!K5)</f>
        <v/>
      </c>
      <c r="L6" s="22" t="str">
        <f>IF('C.F'!L5=0,"",'C.F'!L5)</f>
        <v/>
      </c>
      <c r="M6" s="22" t="str">
        <f>IF('C.F'!M5=0,"",'C.F'!M5)</f>
        <v/>
      </c>
      <c r="N6" s="29" t="s">
        <v>164</v>
      </c>
    </row>
    <row r="7" spans="2:14" x14ac:dyDescent="0.35">
      <c r="B7" s="34" t="s">
        <v>160</v>
      </c>
      <c r="C7" s="30">
        <f>'C.F'!C8</f>
        <v>-2170200</v>
      </c>
      <c r="D7" s="30">
        <f>'C.F'!D10</f>
        <v>1745022.8503280315</v>
      </c>
      <c r="E7" s="30">
        <f>'C.F'!E10</f>
        <v>1769635.0321156429</v>
      </c>
      <c r="F7" s="30">
        <f>'C.F'!F10+N7</f>
        <v>2104611.2869329909</v>
      </c>
      <c r="G7" s="24">
        <v>0</v>
      </c>
      <c r="H7" s="30">
        <f>'C.F'!H13</f>
        <v>0</v>
      </c>
      <c r="I7" s="30">
        <f>'C.F'!I13</f>
        <v>0</v>
      </c>
      <c r="J7" s="30">
        <f>'C.F'!J13</f>
        <v>0</v>
      </c>
      <c r="K7" s="30">
        <f>'C.F'!K13</f>
        <v>0</v>
      </c>
      <c r="L7" s="30">
        <f>'C.F'!L13</f>
        <v>0</v>
      </c>
      <c r="M7" s="30">
        <f>'C.F'!M13</f>
        <v>0</v>
      </c>
      <c r="N7" s="24">
        <f>'SCENARIO-1 '!$H$92*30%</f>
        <v>651060</v>
      </c>
    </row>
    <row r="8" spans="2:14" ht="33" customHeight="1" x14ac:dyDescent="0.35">
      <c r="B8" s="34"/>
      <c r="C8" s="30"/>
      <c r="D8" s="83" t="s">
        <v>286</v>
      </c>
      <c r="E8" s="38"/>
      <c r="F8" s="38"/>
      <c r="G8" s="38"/>
      <c r="H8" s="38"/>
      <c r="I8" s="24"/>
      <c r="J8" s="24"/>
      <c r="K8" s="24"/>
      <c r="L8" s="24"/>
      <c r="M8" s="24"/>
      <c r="N8" s="24"/>
    </row>
    <row r="9" spans="2:14" x14ac:dyDescent="0.35">
      <c r="B9" s="34" t="s">
        <v>161</v>
      </c>
      <c r="C9" s="24"/>
      <c r="D9" s="82">
        <f>WACC!$C$24</f>
        <v>0.45750000000000002</v>
      </c>
      <c r="E9" s="82">
        <f>WACC!$C$24</f>
        <v>0.45750000000000002</v>
      </c>
      <c r="F9" s="82">
        <f>WACC!$C$24</f>
        <v>0.45750000000000002</v>
      </c>
      <c r="G9" s="82"/>
      <c r="H9" s="82"/>
      <c r="I9" s="82"/>
      <c r="J9" s="82"/>
      <c r="K9" s="82"/>
      <c r="L9" s="82"/>
      <c r="M9" s="82"/>
      <c r="N9" s="23"/>
    </row>
    <row r="10" spans="2:14" x14ac:dyDescent="0.35">
      <c r="B10" s="31" t="s">
        <v>159</v>
      </c>
      <c r="C10" s="32">
        <f t="shared" ref="C10" si="0">C7/(1+C9)^C6</f>
        <v>-2170200</v>
      </c>
      <c r="D10" s="32">
        <f t="shared" ref="D10:L10" si="1">IFERROR(D7/(1+D9)^D6,0)</f>
        <v>1197271.2523691468</v>
      </c>
      <c r="E10" s="32">
        <f t="shared" si="1"/>
        <v>833041.39039069472</v>
      </c>
      <c r="F10" s="32">
        <f t="shared" si="1"/>
        <v>679745.28665344871</v>
      </c>
      <c r="G10" s="32">
        <f t="shared" si="1"/>
        <v>0</v>
      </c>
      <c r="H10" s="32">
        <f t="shared" si="1"/>
        <v>0</v>
      </c>
      <c r="I10" s="32">
        <f t="shared" si="1"/>
        <v>0</v>
      </c>
      <c r="J10" s="32">
        <f t="shared" si="1"/>
        <v>0</v>
      </c>
      <c r="K10" s="32">
        <f t="shared" si="1"/>
        <v>0</v>
      </c>
      <c r="L10" s="32">
        <f t="shared" si="1"/>
        <v>0</v>
      </c>
      <c r="M10" s="32">
        <f>IFERROR(M7/(1+M9)^M6,0)</f>
        <v>0</v>
      </c>
      <c r="N10" s="31"/>
    </row>
    <row r="11" spans="2:14" x14ac:dyDescent="0.35">
      <c r="B11" s="33" t="s">
        <v>162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>
        <f>N7/(1+F9)^F6</f>
        <v>210278.71943684245</v>
      </c>
      <c r="N11" s="33"/>
    </row>
    <row r="12" spans="2:14" ht="18.600000000000001" thickBot="1" x14ac:dyDescent="0.4">
      <c r="B12" s="230" t="s">
        <v>163</v>
      </c>
      <c r="C12" s="231">
        <f>SUM(C10:C11)</f>
        <v>-2170200</v>
      </c>
      <c r="D12" s="231">
        <f t="shared" ref="D12:M12" si="2">SUM(D10:D11)</f>
        <v>1197271.2523691468</v>
      </c>
      <c r="E12" s="231">
        <f t="shared" si="2"/>
        <v>833041.39039069472</v>
      </c>
      <c r="F12" s="231">
        <f t="shared" si="2"/>
        <v>679745.28665344871</v>
      </c>
      <c r="G12" s="231">
        <f t="shared" si="2"/>
        <v>0</v>
      </c>
      <c r="H12" s="231">
        <f t="shared" si="2"/>
        <v>0</v>
      </c>
      <c r="I12" s="231">
        <f t="shared" si="2"/>
        <v>0</v>
      </c>
      <c r="J12" s="231">
        <f t="shared" si="2"/>
        <v>0</v>
      </c>
      <c r="K12" s="231">
        <f t="shared" si="2"/>
        <v>0</v>
      </c>
      <c r="L12" s="231">
        <f t="shared" si="2"/>
        <v>0</v>
      </c>
      <c r="M12" s="231">
        <f t="shared" si="2"/>
        <v>210278.71943684245</v>
      </c>
      <c r="N12" s="33"/>
    </row>
    <row r="14" spans="2:14" ht="18.600000000000001" thickBot="1" x14ac:dyDescent="0.4">
      <c r="B14" s="175" t="s">
        <v>182</v>
      </c>
      <c r="C14" s="176">
        <f>SUM(C12:F12)</f>
        <v>539857.92941329023</v>
      </c>
      <c r="D14" s="148"/>
      <c r="F14" s="47"/>
      <c r="G14" s="47"/>
      <c r="H14" s="47"/>
    </row>
    <row r="15" spans="2:14" x14ac:dyDescent="0.35">
      <c r="C15" s="42"/>
    </row>
    <row r="16" spans="2:14" ht="18.600000000000001" thickBot="1" x14ac:dyDescent="0.4">
      <c r="B16" s="175" t="s">
        <v>177</v>
      </c>
      <c r="C16" s="177">
        <f>IFERROR(IRR(C7:F7),0)</f>
        <v>0.65259524867905561</v>
      </c>
    </row>
    <row r="17" spans="2:7" x14ac:dyDescent="0.35">
      <c r="C17" s="41"/>
      <c r="G17" s="125"/>
    </row>
    <row r="18" spans="2:7" ht="18.600000000000001" thickBot="1" x14ac:dyDescent="0.4">
      <c r="B18" s="175" t="s">
        <v>178</v>
      </c>
      <c r="C18" s="201">
        <f>IFERROR(SUM(D12:F12)/C7*-1,0)</f>
        <v>1.248759528805313</v>
      </c>
    </row>
    <row r="21" spans="2:7" hidden="1" x14ac:dyDescent="0.35"/>
    <row r="22" spans="2:7" hidden="1" x14ac:dyDescent="0.35"/>
    <row r="23" spans="2:7" hidden="1" x14ac:dyDescent="0.35">
      <c r="B23" s="148">
        <f>$C$10</f>
        <v>-2170200</v>
      </c>
      <c r="C23" s="148">
        <f>D12</f>
        <v>1197271.2523691468</v>
      </c>
      <c r="D23" s="148">
        <f>C23+B23</f>
        <v>-972928.74763085321</v>
      </c>
    </row>
    <row r="24" spans="2:7" hidden="1" x14ac:dyDescent="0.35">
      <c r="B24" s="148">
        <f t="shared" ref="B24:B25" si="3">$C$10</f>
        <v>-2170200</v>
      </c>
      <c r="C24" s="148">
        <f>E12</f>
        <v>833041.39039069472</v>
      </c>
      <c r="D24" s="148">
        <f>IF(D23&lt;=0,D23+C24,C24)</f>
        <v>-139887.35724015848</v>
      </c>
    </row>
    <row r="25" spans="2:7" hidden="1" x14ac:dyDescent="0.35">
      <c r="B25" s="148">
        <f t="shared" si="3"/>
        <v>-2170200</v>
      </c>
      <c r="C25" s="148">
        <f>F12</f>
        <v>679745.28665344871</v>
      </c>
      <c r="D25" s="148">
        <f>IF(D24&lt;=0,D24+C25,C25)</f>
        <v>539857.92941329023</v>
      </c>
    </row>
    <row r="26" spans="2:7" hidden="1" x14ac:dyDescent="0.35"/>
    <row r="28" spans="2:7" ht="18.600000000000001" thickBot="1" x14ac:dyDescent="0.4">
      <c r="B28" s="235" t="s">
        <v>366</v>
      </c>
      <c r="C28" s="34"/>
      <c r="D28" s="34"/>
    </row>
    <row r="29" spans="2:7" ht="18.600000000000001" thickBot="1" x14ac:dyDescent="0.4">
      <c r="B29" s="34" t="s">
        <v>357</v>
      </c>
      <c r="C29" s="199">
        <f>B23</f>
        <v>-2170200</v>
      </c>
      <c r="D29" s="199">
        <f>D23</f>
        <v>-972928.74763085321</v>
      </c>
    </row>
    <row r="30" spans="2:7" ht="18.600000000000001" thickBot="1" x14ac:dyDescent="0.4">
      <c r="B30" s="34" t="s">
        <v>358</v>
      </c>
      <c r="C30" s="200">
        <f t="shared" ref="C30:C31" si="4">B24</f>
        <v>-2170200</v>
      </c>
      <c r="D30" s="200">
        <f t="shared" ref="D30:D31" si="5">D24</f>
        <v>-139887.35724015848</v>
      </c>
    </row>
    <row r="31" spans="2:7" ht="18.600000000000001" thickBot="1" x14ac:dyDescent="0.4">
      <c r="B31" s="34" t="s">
        <v>359</v>
      </c>
      <c r="C31" s="200">
        <f t="shared" si="4"/>
        <v>-2170200</v>
      </c>
      <c r="D31" s="200">
        <f t="shared" si="5"/>
        <v>539857.92941329023</v>
      </c>
    </row>
    <row r="32" spans="2:7" x14ac:dyDescent="0.35">
      <c r="B32" s="34"/>
      <c r="C32" s="34"/>
      <c r="D32" s="34"/>
    </row>
  </sheetData>
  <sheetProtection algorithmName="SHA-512" hashValue="5KYAXLauf8Fj2lrl7WhhIBcyGbPZgwIdaKMgw1C8zA2PbxkVJ9mN+kwShyikCuR3INqn8C4EPQVCn+Qa2tyBEg==" saltValue="Ekv9Cb+ENsxfRxzhjMkqug==" spinCount="100000" sheet="1" objects="1" scenarios="1"/>
  <mergeCells count="2">
    <mergeCell ref="B2:F2"/>
    <mergeCell ref="B4:F4"/>
  </mergeCells>
  <phoneticPr fontId="45" type="noConversion"/>
  <hyperlinks>
    <hyperlink ref="B4" r:id="rId1" xr:uid="{EA39D070-DF9D-482A-A244-75FEF0BFA599}"/>
    <hyperlink ref="K3" r:id="rId2" xr:uid="{0955D13D-9C5D-4C91-B5D9-6C5E3539BCA0}"/>
  </hyperlinks>
  <pageMargins left="0.7" right="0.7" top="0.75" bottom="0.75" header="0.3" footer="0.3"/>
  <pageSetup paperSize="9" orientation="portrait" r:id="rId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BF513-5F43-4181-A9E9-B2BFF3D1EC9B}">
  <sheetPr codeName="Sheet9"/>
  <dimension ref="B2:M1032"/>
  <sheetViews>
    <sheetView showGridLines="0" rightToLeft="1" workbookViewId="0">
      <selection activeCell="I4" sqref="I4"/>
    </sheetView>
  </sheetViews>
  <sheetFormatPr defaultRowHeight="14.4" x14ac:dyDescent="0.3"/>
  <cols>
    <col min="2" max="2" width="11" bestFit="1" customWidth="1"/>
    <col min="3" max="3" width="20.21875" bestFit="1" customWidth="1"/>
    <col min="5" max="5" width="12.33203125" bestFit="1" customWidth="1"/>
    <col min="11" max="11" width="14.21875" bestFit="1" customWidth="1"/>
    <col min="12" max="12" width="15.44140625" bestFit="1" customWidth="1"/>
  </cols>
  <sheetData>
    <row r="2" spans="2:5" ht="25.2" thickBot="1" x14ac:dyDescent="0.35">
      <c r="B2" s="293" t="s">
        <v>378</v>
      </c>
      <c r="C2" s="293"/>
      <c r="D2" s="293"/>
      <c r="E2" s="293"/>
    </row>
    <row r="3" spans="2:5" ht="15" thickTop="1" x14ac:dyDescent="0.3"/>
    <row r="25" spans="2:13" ht="18" thickBot="1" x14ac:dyDescent="0.35">
      <c r="F25" s="114" t="s">
        <v>316</v>
      </c>
      <c r="L25" s="199" t="s">
        <v>371</v>
      </c>
      <c r="M25" s="199" t="s">
        <v>372</v>
      </c>
    </row>
    <row r="26" spans="2:13" ht="18" thickBot="1" x14ac:dyDescent="0.35">
      <c r="B26" s="199" t="s">
        <v>367</v>
      </c>
      <c r="C26" s="199">
        <f>AVERAGEIF('D.C.F'!D7:M7,"&lt;&gt;0")</f>
        <v>1873089.7231255553</v>
      </c>
      <c r="D26" s="199" t="s">
        <v>369</v>
      </c>
      <c r="E26" s="199">
        <f>C26*F26</f>
        <v>337156.15016259992</v>
      </c>
      <c r="F26" s="203">
        <v>0.18</v>
      </c>
      <c r="K26" s="199" t="s">
        <v>374</v>
      </c>
      <c r="L26" s="207">
        <f>AVERAGE(L33:L1032)</f>
        <v>597047.81521286862</v>
      </c>
      <c r="M26" s="208">
        <f>AVERAGE(M33:M1032)</f>
        <v>0.68015470445528692</v>
      </c>
    </row>
    <row r="27" spans="2:13" ht="18" thickBot="1" x14ac:dyDescent="0.35">
      <c r="B27" s="199" t="s">
        <v>368</v>
      </c>
      <c r="C27" s="199" cm="1">
        <f t="array" ref="C27">SUMPRODUCT(--('D.C.F'!D6:M6&lt;&gt;""))</f>
        <v>3</v>
      </c>
      <c r="K27" s="199" t="s">
        <v>375</v>
      </c>
      <c r="L27" s="207">
        <f>MEDIAN(L33:L1032)</f>
        <v>591607.37359761959</v>
      </c>
      <c r="M27" s="208">
        <f>MEDIAN(M33:M1032)</f>
        <v>0.67664965589926485</v>
      </c>
    </row>
    <row r="28" spans="2:13" ht="18" thickBot="1" x14ac:dyDescent="0.35">
      <c r="B28" s="199" t="s">
        <v>280</v>
      </c>
      <c r="C28" s="203">
        <f>AVERAGE('D.C.F'!D9:F9)</f>
        <v>0.45750000000000002</v>
      </c>
      <c r="K28" s="199" t="s">
        <v>376</v>
      </c>
      <c r="L28" s="207">
        <f>MAX(L33:L1032)</f>
        <v>1605430.4151688851</v>
      </c>
      <c r="M28" s="208">
        <f>MAX(M33:M1032)</f>
        <v>1.0611622403752117</v>
      </c>
    </row>
    <row r="29" spans="2:13" ht="18" thickBot="1" x14ac:dyDescent="0.35">
      <c r="K29" s="199" t="s">
        <v>377</v>
      </c>
      <c r="L29" s="207">
        <f>MIN(L33:L1032)</f>
        <v>-255302.6923769468</v>
      </c>
      <c r="M29" s="208">
        <f>MIN(M33:M1032)</f>
        <v>0.36887111934961347</v>
      </c>
    </row>
    <row r="31" spans="2:13" ht="18" thickBot="1" x14ac:dyDescent="0.35">
      <c r="L31" s="199" t="s">
        <v>371</v>
      </c>
      <c r="M31" s="199" t="s">
        <v>372</v>
      </c>
    </row>
    <row r="32" spans="2:13" ht="18" thickBot="1" x14ac:dyDescent="0.35">
      <c r="B32" s="199" t="s">
        <v>370</v>
      </c>
      <c r="C32" s="199"/>
      <c r="K32" s="209" t="s">
        <v>373</v>
      </c>
      <c r="L32" s="205">
        <f ca="1">C39</f>
        <v>580981.53413614491</v>
      </c>
      <c r="M32" s="206">
        <f ca="1">C40</f>
        <v>0.66336893104358685</v>
      </c>
    </row>
    <row r="33" spans="2:13" ht="18" thickBot="1" x14ac:dyDescent="0.35">
      <c r="B33" s="199">
        <v>0</v>
      </c>
      <c r="C33" s="199">
        <f>'D.C.F'!C10</f>
        <v>-2170200</v>
      </c>
      <c r="K33" s="204">
        <v>1</v>
      </c>
      <c r="L33" s="205">
        <f t="dataTable" ref="L33:M1032" dt2D="0" dtr="0" r1="K31" ca="1"/>
        <v>350967.70098354574</v>
      </c>
      <c r="M33" s="206">
        <v>0.58829591398235048</v>
      </c>
    </row>
    <row r="34" spans="2:13" ht="18" thickBot="1" x14ac:dyDescent="0.35">
      <c r="B34" s="199">
        <v>1</v>
      </c>
      <c r="C34" s="199">
        <f ca="1">_xlfn.NORM.INV(RAND(),C$26,E$26)</f>
        <v>1629596.4980445467</v>
      </c>
      <c r="K34" s="204">
        <v>2</v>
      </c>
      <c r="L34" s="205">
        <v>619050.76390914619</v>
      </c>
      <c r="M34" s="206">
        <v>0.68034720863563392</v>
      </c>
    </row>
    <row r="35" spans="2:13" ht="18" thickBot="1" x14ac:dyDescent="0.35">
      <c r="B35" s="199">
        <v>2</v>
      </c>
      <c r="C35" s="199">
        <f t="shared" ref="C35:C36" ca="1" si="0">_xlfn.NORM.INV(RAND(),C$26,E$26)</f>
        <v>2052558.3858378446</v>
      </c>
      <c r="K35" s="204">
        <v>3</v>
      </c>
      <c r="L35" s="205">
        <v>174676.07309537055</v>
      </c>
      <c r="M35" s="206">
        <v>0.52166795557021128</v>
      </c>
    </row>
    <row r="36" spans="2:13" ht="18" thickBot="1" x14ac:dyDescent="0.35">
      <c r="B36" s="199">
        <v>3</v>
      </c>
      <c r="C36" s="199">
        <f t="shared" ca="1" si="0"/>
        <v>2064777.3532085745</v>
      </c>
      <c r="K36" s="204">
        <v>4</v>
      </c>
      <c r="L36" s="205">
        <v>206478.66801642533</v>
      </c>
      <c r="M36" s="206">
        <v>0.53407272912420223</v>
      </c>
    </row>
    <row r="37" spans="2:13" x14ac:dyDescent="0.3">
      <c r="K37" s="204">
        <v>5</v>
      </c>
      <c r="L37" s="205">
        <v>835809.18618823681</v>
      </c>
      <c r="M37" s="206">
        <v>0.78570431182257261</v>
      </c>
    </row>
    <row r="38" spans="2:13" x14ac:dyDescent="0.3">
      <c r="K38" s="204">
        <v>6</v>
      </c>
      <c r="L38" s="205">
        <v>174441.45173361478</v>
      </c>
      <c r="M38" s="206">
        <v>0.51787094150012458</v>
      </c>
    </row>
    <row r="39" spans="2:13" ht="18" thickBot="1" x14ac:dyDescent="0.35">
      <c r="B39" s="199" t="s">
        <v>371</v>
      </c>
      <c r="C39" s="199">
        <f ca="1">NPV(C28,C34:C36)+C33</f>
        <v>580981.53413614491</v>
      </c>
      <c r="K39" s="204">
        <v>7</v>
      </c>
      <c r="L39" s="205">
        <v>677207.49348122301</v>
      </c>
      <c r="M39" s="206">
        <v>0.72563355211411751</v>
      </c>
    </row>
    <row r="40" spans="2:13" ht="18" thickBot="1" x14ac:dyDescent="0.35">
      <c r="B40" s="199" t="s">
        <v>372</v>
      </c>
      <c r="C40" s="203">
        <f ca="1">IRR(C33:C36)</f>
        <v>0.66336893104358685</v>
      </c>
      <c r="K40" s="204">
        <v>8</v>
      </c>
      <c r="L40" s="205">
        <v>573066.84000731865</v>
      </c>
      <c r="M40" s="206">
        <v>0.67698059657334775</v>
      </c>
    </row>
    <row r="41" spans="2:13" x14ac:dyDescent="0.3">
      <c r="K41" s="204">
        <v>9</v>
      </c>
      <c r="L41" s="205">
        <v>951550.63958445797</v>
      </c>
      <c r="M41" s="206">
        <v>0.80049136495238793</v>
      </c>
    </row>
    <row r="42" spans="2:13" x14ac:dyDescent="0.3">
      <c r="K42" s="204">
        <v>10</v>
      </c>
      <c r="L42" s="205">
        <v>613231.81520406762</v>
      </c>
      <c r="M42" s="206">
        <v>0.70335806970292314</v>
      </c>
    </row>
    <row r="43" spans="2:13" x14ac:dyDescent="0.3">
      <c r="K43" s="204">
        <v>11</v>
      </c>
      <c r="L43" s="205">
        <v>1023145.4439924746</v>
      </c>
      <c r="M43" s="206">
        <v>0.86080552316275649</v>
      </c>
    </row>
    <row r="44" spans="2:13" x14ac:dyDescent="0.3">
      <c r="K44" s="204">
        <v>12</v>
      </c>
      <c r="L44" s="205">
        <v>72746.528925392777</v>
      </c>
      <c r="M44" s="206">
        <v>0.48480253349025815</v>
      </c>
    </row>
    <row r="45" spans="2:13" x14ac:dyDescent="0.3">
      <c r="K45" s="204">
        <v>13</v>
      </c>
      <c r="L45" s="205">
        <v>762599.6607152801</v>
      </c>
      <c r="M45" s="206">
        <v>0.74117998771991611</v>
      </c>
    </row>
    <row r="46" spans="2:13" x14ac:dyDescent="0.3">
      <c r="K46" s="204">
        <v>14</v>
      </c>
      <c r="L46" s="205">
        <v>312149.14075831091</v>
      </c>
      <c r="M46" s="206">
        <v>0.57926931921931368</v>
      </c>
    </row>
    <row r="47" spans="2:13" x14ac:dyDescent="0.3">
      <c r="K47" s="204">
        <v>15</v>
      </c>
      <c r="L47" s="205">
        <v>544770.89086596062</v>
      </c>
      <c r="M47" s="206">
        <v>0.64509578557624736</v>
      </c>
    </row>
    <row r="48" spans="2:13" x14ac:dyDescent="0.3">
      <c r="K48" s="204">
        <v>16</v>
      </c>
      <c r="L48" s="205">
        <v>990535.99551763525</v>
      </c>
      <c r="M48" s="206">
        <v>0.84753137524087618</v>
      </c>
    </row>
    <row r="49" spans="11:13" x14ac:dyDescent="0.3">
      <c r="K49" s="204">
        <v>17</v>
      </c>
      <c r="L49" s="205">
        <v>646144.03967122734</v>
      </c>
      <c r="M49" s="206">
        <v>0.71161038251926145</v>
      </c>
    </row>
    <row r="50" spans="11:13" x14ac:dyDescent="0.3">
      <c r="K50" s="204">
        <v>18</v>
      </c>
      <c r="L50" s="205">
        <v>76551.700347096659</v>
      </c>
      <c r="M50" s="206">
        <v>0.48486005440372848</v>
      </c>
    </row>
    <row r="51" spans="11:13" x14ac:dyDescent="0.3">
      <c r="K51" s="204">
        <v>19</v>
      </c>
      <c r="L51" s="205">
        <v>676226.12201570161</v>
      </c>
      <c r="M51" s="206">
        <v>0.70273244048378158</v>
      </c>
    </row>
    <row r="52" spans="11:13" x14ac:dyDescent="0.3">
      <c r="K52" s="204">
        <v>20</v>
      </c>
      <c r="L52" s="205">
        <v>698981.7646934404</v>
      </c>
      <c r="M52" s="206">
        <v>0.74096581828548169</v>
      </c>
    </row>
    <row r="53" spans="11:13" x14ac:dyDescent="0.3">
      <c r="K53" s="204">
        <v>21</v>
      </c>
      <c r="L53" s="205">
        <v>276561.79988534609</v>
      </c>
      <c r="M53" s="206">
        <v>0.56545109306874175</v>
      </c>
    </row>
    <row r="54" spans="11:13" x14ac:dyDescent="0.3">
      <c r="K54" s="204">
        <v>22</v>
      </c>
      <c r="L54" s="205">
        <v>332972.99187328108</v>
      </c>
      <c r="M54" s="206">
        <v>0.57362258608873207</v>
      </c>
    </row>
    <row r="55" spans="11:13" x14ac:dyDescent="0.3">
      <c r="K55" s="204">
        <v>23</v>
      </c>
      <c r="L55" s="205">
        <v>676418.96351919835</v>
      </c>
      <c r="M55" s="206">
        <v>0.7105778369470841</v>
      </c>
    </row>
    <row r="56" spans="11:13" x14ac:dyDescent="0.3">
      <c r="K56" s="204">
        <v>24</v>
      </c>
      <c r="L56" s="205">
        <v>559686.52955322247</v>
      </c>
      <c r="M56" s="206">
        <v>0.64966035574990899</v>
      </c>
    </row>
    <row r="57" spans="11:13" x14ac:dyDescent="0.3">
      <c r="K57" s="204">
        <v>25</v>
      </c>
      <c r="L57" s="205">
        <v>594227.94738816237</v>
      </c>
      <c r="M57" s="206">
        <v>0.66989010250536318</v>
      </c>
    </row>
    <row r="58" spans="11:13" x14ac:dyDescent="0.3">
      <c r="K58" s="204">
        <v>26</v>
      </c>
      <c r="L58" s="205">
        <v>472072.13506046915</v>
      </c>
      <c r="M58" s="206">
        <v>0.62520429726956683</v>
      </c>
    </row>
    <row r="59" spans="11:13" x14ac:dyDescent="0.3">
      <c r="K59" s="204">
        <v>27</v>
      </c>
      <c r="L59" s="205">
        <v>362554.72709738137</v>
      </c>
      <c r="M59" s="206">
        <v>0.59474702857161743</v>
      </c>
    </row>
    <row r="60" spans="11:13" x14ac:dyDescent="0.3">
      <c r="K60" s="204">
        <v>28</v>
      </c>
      <c r="L60" s="205">
        <v>887952.30530647375</v>
      </c>
      <c r="M60" s="206">
        <v>0.7831229712453085</v>
      </c>
    </row>
    <row r="61" spans="11:13" x14ac:dyDescent="0.3">
      <c r="K61" s="204">
        <v>29</v>
      </c>
      <c r="L61" s="205">
        <v>11959.833999043796</v>
      </c>
      <c r="M61" s="206">
        <v>0.46222346691147753</v>
      </c>
    </row>
    <row r="62" spans="11:13" x14ac:dyDescent="0.3">
      <c r="K62" s="204">
        <v>30</v>
      </c>
      <c r="L62" s="205">
        <v>592059.50324389851</v>
      </c>
      <c r="M62" s="206">
        <v>0.67032650626787493</v>
      </c>
    </row>
    <row r="63" spans="11:13" x14ac:dyDescent="0.3">
      <c r="K63" s="204">
        <v>31</v>
      </c>
      <c r="L63" s="205">
        <v>544815.43783136038</v>
      </c>
      <c r="M63" s="206">
        <v>0.66647067898288648</v>
      </c>
    </row>
    <row r="64" spans="11:13" x14ac:dyDescent="0.3">
      <c r="K64" s="204">
        <v>32</v>
      </c>
      <c r="L64" s="205">
        <v>671240.77929520886</v>
      </c>
      <c r="M64" s="206">
        <v>0.72127631939991477</v>
      </c>
    </row>
    <row r="65" spans="11:13" x14ac:dyDescent="0.3">
      <c r="K65" s="204">
        <v>33</v>
      </c>
      <c r="L65" s="205">
        <v>525356.50449776184</v>
      </c>
      <c r="M65" s="206">
        <v>0.66111587034444397</v>
      </c>
    </row>
    <row r="66" spans="11:13" x14ac:dyDescent="0.3">
      <c r="K66" s="204">
        <v>34</v>
      </c>
      <c r="L66" s="205">
        <v>794231.64253431046</v>
      </c>
      <c r="M66" s="206">
        <v>0.76765845558709578</v>
      </c>
    </row>
    <row r="67" spans="11:13" x14ac:dyDescent="0.3">
      <c r="K67" s="204">
        <v>35</v>
      </c>
      <c r="L67" s="205">
        <v>291160.33892085124</v>
      </c>
      <c r="M67" s="206">
        <v>0.56309120776436239</v>
      </c>
    </row>
    <row r="68" spans="11:13" x14ac:dyDescent="0.3">
      <c r="K68" s="204">
        <v>36</v>
      </c>
      <c r="L68" s="205">
        <v>361160.83713024156</v>
      </c>
      <c r="M68" s="206">
        <v>0.58360799176104128</v>
      </c>
    </row>
    <row r="69" spans="11:13" x14ac:dyDescent="0.3">
      <c r="K69" s="204">
        <v>37</v>
      </c>
      <c r="L69" s="205">
        <v>543735.88673424302</v>
      </c>
      <c r="M69" s="206">
        <v>0.64085948608810073</v>
      </c>
    </row>
    <row r="70" spans="11:13" x14ac:dyDescent="0.3">
      <c r="K70" s="204">
        <v>38</v>
      </c>
      <c r="L70" s="205">
        <v>320681.15307542309</v>
      </c>
      <c r="M70" s="206">
        <v>0.57744680943859694</v>
      </c>
    </row>
    <row r="71" spans="11:13" x14ac:dyDescent="0.3">
      <c r="K71" s="204">
        <v>39</v>
      </c>
      <c r="L71" s="205">
        <v>732064.48697347241</v>
      </c>
      <c r="M71" s="206">
        <v>0.73199853296769035</v>
      </c>
    </row>
    <row r="72" spans="11:13" x14ac:dyDescent="0.3">
      <c r="K72" s="204">
        <v>40</v>
      </c>
      <c r="L72" s="205">
        <v>793301.96117737284</v>
      </c>
      <c r="M72" s="206">
        <v>0.75655916267100309</v>
      </c>
    </row>
    <row r="73" spans="11:13" x14ac:dyDescent="0.3">
      <c r="K73" s="204">
        <v>41</v>
      </c>
      <c r="L73" s="205">
        <v>593510.00425016508</v>
      </c>
      <c r="M73" s="206">
        <v>0.67774139764530261</v>
      </c>
    </row>
    <row r="74" spans="11:13" x14ac:dyDescent="0.3">
      <c r="K74" s="204">
        <v>42</v>
      </c>
      <c r="L74" s="205">
        <v>817094.38618857227</v>
      </c>
      <c r="M74" s="206">
        <v>0.76211675447390803</v>
      </c>
    </row>
    <row r="75" spans="11:13" x14ac:dyDescent="0.3">
      <c r="K75" s="204">
        <v>43</v>
      </c>
      <c r="L75" s="205">
        <v>883988.26922181854</v>
      </c>
      <c r="M75" s="206">
        <v>0.79164543971312562</v>
      </c>
    </row>
    <row r="76" spans="11:13" x14ac:dyDescent="0.3">
      <c r="K76" s="204">
        <v>44</v>
      </c>
      <c r="L76" s="205">
        <v>367725.27220071666</v>
      </c>
      <c r="M76" s="206">
        <v>0.5911012949289165</v>
      </c>
    </row>
    <row r="77" spans="11:13" x14ac:dyDescent="0.3">
      <c r="K77" s="204">
        <v>45</v>
      </c>
      <c r="L77" s="205">
        <v>511834.10073604807</v>
      </c>
      <c r="M77" s="206">
        <v>0.64252493406782651</v>
      </c>
    </row>
    <row r="78" spans="11:13" x14ac:dyDescent="0.3">
      <c r="K78" s="204">
        <v>46</v>
      </c>
      <c r="L78" s="205">
        <v>439996.11257785838</v>
      </c>
      <c r="M78" s="206">
        <v>0.61527746538777928</v>
      </c>
    </row>
    <row r="79" spans="11:13" x14ac:dyDescent="0.3">
      <c r="K79" s="204">
        <v>47</v>
      </c>
      <c r="L79" s="205">
        <v>894714.91252830438</v>
      </c>
      <c r="M79" s="206">
        <v>0.79576386943797184</v>
      </c>
    </row>
    <row r="80" spans="11:13" x14ac:dyDescent="0.3">
      <c r="K80" s="204">
        <v>48</v>
      </c>
      <c r="L80" s="205">
        <v>418037.59536915412</v>
      </c>
      <c r="M80" s="206">
        <v>0.61129564410113102</v>
      </c>
    </row>
    <row r="81" spans="11:13" x14ac:dyDescent="0.3">
      <c r="K81" s="204">
        <v>49</v>
      </c>
      <c r="L81" s="205">
        <v>762243.45334936352</v>
      </c>
      <c r="M81" s="206">
        <v>0.74439706817511331</v>
      </c>
    </row>
    <row r="82" spans="11:13" x14ac:dyDescent="0.3">
      <c r="K82" s="204">
        <v>50</v>
      </c>
      <c r="L82" s="205">
        <v>644728.65336069558</v>
      </c>
      <c r="M82" s="206">
        <v>0.68135416812259053</v>
      </c>
    </row>
    <row r="83" spans="11:13" x14ac:dyDescent="0.3">
      <c r="K83" s="204">
        <v>51</v>
      </c>
      <c r="L83" s="205">
        <v>519836.87090651225</v>
      </c>
      <c r="M83" s="206">
        <v>0.6713332173158284</v>
      </c>
    </row>
    <row r="84" spans="11:13" x14ac:dyDescent="0.3">
      <c r="K84" s="204">
        <v>52</v>
      </c>
      <c r="L84" s="205">
        <v>695339.5238430961</v>
      </c>
      <c r="M84" s="206">
        <v>0.72752548854782195</v>
      </c>
    </row>
    <row r="85" spans="11:13" x14ac:dyDescent="0.3">
      <c r="K85" s="204">
        <v>53</v>
      </c>
      <c r="L85" s="205">
        <v>630481.38968034368</v>
      </c>
      <c r="M85" s="206">
        <v>0.6944169543110037</v>
      </c>
    </row>
    <row r="86" spans="11:13" x14ac:dyDescent="0.3">
      <c r="K86" s="204">
        <v>54</v>
      </c>
      <c r="L86" s="205">
        <v>1154492.1699595135</v>
      </c>
      <c r="M86" s="206">
        <v>0.8779902068623695</v>
      </c>
    </row>
    <row r="87" spans="11:13" x14ac:dyDescent="0.3">
      <c r="K87" s="204">
        <v>55</v>
      </c>
      <c r="L87" s="205">
        <v>234050.93370994134</v>
      </c>
      <c r="M87" s="206">
        <v>0.54541445755298135</v>
      </c>
    </row>
    <row r="88" spans="11:13" x14ac:dyDescent="0.3">
      <c r="K88" s="204">
        <v>56</v>
      </c>
      <c r="L88" s="205">
        <v>285560.18211801117</v>
      </c>
      <c r="M88" s="206">
        <v>0.56399041987456577</v>
      </c>
    </row>
    <row r="89" spans="11:13" x14ac:dyDescent="0.3">
      <c r="K89" s="204">
        <v>57</v>
      </c>
      <c r="L89" s="205">
        <v>921772.23838935001</v>
      </c>
      <c r="M89" s="206">
        <v>0.78361418696652363</v>
      </c>
    </row>
    <row r="90" spans="11:13" x14ac:dyDescent="0.3">
      <c r="K90" s="204">
        <v>58</v>
      </c>
      <c r="L90" s="205">
        <v>763272.59378442541</v>
      </c>
      <c r="M90" s="206">
        <v>0.77310559562216485</v>
      </c>
    </row>
    <row r="91" spans="11:13" x14ac:dyDescent="0.3">
      <c r="K91" s="204">
        <v>59</v>
      </c>
      <c r="L91" s="205">
        <v>594616.50234582229</v>
      </c>
      <c r="M91" s="206">
        <v>0.66087545628622002</v>
      </c>
    </row>
    <row r="92" spans="11:13" x14ac:dyDescent="0.3">
      <c r="K92" s="204">
        <v>60</v>
      </c>
      <c r="L92" s="205">
        <v>495956.27072672686</v>
      </c>
      <c r="M92" s="206">
        <v>0.64044290854722052</v>
      </c>
    </row>
    <row r="93" spans="11:13" x14ac:dyDescent="0.3">
      <c r="K93" s="204">
        <v>61</v>
      </c>
      <c r="L93" s="205">
        <v>981523.20574439596</v>
      </c>
      <c r="M93" s="206">
        <v>0.80390236770192791</v>
      </c>
    </row>
    <row r="94" spans="11:13" x14ac:dyDescent="0.3">
      <c r="K94" s="204">
        <v>62</v>
      </c>
      <c r="L94" s="205">
        <v>767066.50738191977</v>
      </c>
      <c r="M94" s="206">
        <v>0.75036964592897237</v>
      </c>
    </row>
    <row r="95" spans="11:13" x14ac:dyDescent="0.3">
      <c r="K95" s="204">
        <v>63</v>
      </c>
      <c r="L95" s="205">
        <v>727642.7576676514</v>
      </c>
      <c r="M95" s="206">
        <v>0.73950321873442393</v>
      </c>
    </row>
    <row r="96" spans="11:13" x14ac:dyDescent="0.3">
      <c r="K96" s="204">
        <v>64</v>
      </c>
      <c r="L96" s="205">
        <v>367944.37869082484</v>
      </c>
      <c r="M96" s="206">
        <v>0.58652780556763484</v>
      </c>
    </row>
    <row r="97" spans="11:13" x14ac:dyDescent="0.3">
      <c r="K97" s="204">
        <v>65</v>
      </c>
      <c r="L97" s="205">
        <v>454278.67928187456</v>
      </c>
      <c r="M97" s="206">
        <v>0.62369111746530459</v>
      </c>
    </row>
    <row r="98" spans="11:13" x14ac:dyDescent="0.3">
      <c r="K98" s="204">
        <v>66</v>
      </c>
      <c r="L98" s="205">
        <v>310466.20314510819</v>
      </c>
      <c r="M98" s="206">
        <v>0.5770617190648879</v>
      </c>
    </row>
    <row r="99" spans="11:13" x14ac:dyDescent="0.3">
      <c r="K99" s="204">
        <v>67</v>
      </c>
      <c r="L99" s="205">
        <v>751372.83824162139</v>
      </c>
      <c r="M99" s="206">
        <v>0.72933269382030819</v>
      </c>
    </row>
    <row r="100" spans="11:13" x14ac:dyDescent="0.3">
      <c r="K100" s="204">
        <v>68</v>
      </c>
      <c r="L100" s="205">
        <v>219091.31028609164</v>
      </c>
      <c r="M100" s="206">
        <v>0.53275642234315712</v>
      </c>
    </row>
    <row r="101" spans="11:13" x14ac:dyDescent="0.3">
      <c r="K101" s="204">
        <v>69</v>
      </c>
      <c r="L101" s="205">
        <v>902913.12395389238</v>
      </c>
      <c r="M101" s="206">
        <v>0.80591913318513209</v>
      </c>
    </row>
    <row r="102" spans="11:13" x14ac:dyDescent="0.3">
      <c r="K102" s="204">
        <v>70</v>
      </c>
      <c r="L102" s="205">
        <v>936553.03669306682</v>
      </c>
      <c r="M102" s="206">
        <v>0.80323915191555262</v>
      </c>
    </row>
    <row r="103" spans="11:13" x14ac:dyDescent="0.3">
      <c r="K103" s="204">
        <v>71</v>
      </c>
      <c r="L103" s="205">
        <v>774344.71362212254</v>
      </c>
      <c r="M103" s="206">
        <v>0.75474877754325309</v>
      </c>
    </row>
    <row r="104" spans="11:13" x14ac:dyDescent="0.3">
      <c r="K104" s="204">
        <v>72</v>
      </c>
      <c r="L104" s="205">
        <v>650327.05077332025</v>
      </c>
      <c r="M104" s="206">
        <v>0.68606820934647694</v>
      </c>
    </row>
    <row r="105" spans="11:13" x14ac:dyDescent="0.3">
      <c r="K105" s="204">
        <v>73</v>
      </c>
      <c r="L105" s="205">
        <v>788979.31700545782</v>
      </c>
      <c r="M105" s="206">
        <v>0.73521383597495982</v>
      </c>
    </row>
    <row r="106" spans="11:13" x14ac:dyDescent="0.3">
      <c r="K106" s="204">
        <v>74</v>
      </c>
      <c r="L106" s="205">
        <v>215539.01896708924</v>
      </c>
      <c r="M106" s="206">
        <v>0.53370544434108003</v>
      </c>
    </row>
    <row r="107" spans="11:13" x14ac:dyDescent="0.3">
      <c r="K107" s="204">
        <v>75</v>
      </c>
      <c r="L107" s="205">
        <v>181376.33156465832</v>
      </c>
      <c r="M107" s="206">
        <v>0.52667428143035488</v>
      </c>
    </row>
    <row r="108" spans="11:13" x14ac:dyDescent="0.3">
      <c r="K108" s="204">
        <v>76</v>
      </c>
      <c r="L108" s="205">
        <v>174869.80683104787</v>
      </c>
      <c r="M108" s="206">
        <v>0.52108167368817826</v>
      </c>
    </row>
    <row r="109" spans="11:13" x14ac:dyDescent="0.3">
      <c r="K109" s="204">
        <v>77</v>
      </c>
      <c r="L109" s="205">
        <v>477040.56883142283</v>
      </c>
      <c r="M109" s="206">
        <v>0.63918469064486283</v>
      </c>
    </row>
    <row r="110" spans="11:13" x14ac:dyDescent="0.3">
      <c r="K110" s="204">
        <v>78</v>
      </c>
      <c r="L110" s="205">
        <v>558124.58297439478</v>
      </c>
      <c r="M110" s="206">
        <v>0.65734996240133703</v>
      </c>
    </row>
    <row r="111" spans="11:13" x14ac:dyDescent="0.3">
      <c r="K111" s="204">
        <v>79</v>
      </c>
      <c r="L111" s="205">
        <v>668432.09933416406</v>
      </c>
      <c r="M111" s="206">
        <v>0.71275263509646147</v>
      </c>
    </row>
    <row r="112" spans="11:13" x14ac:dyDescent="0.3">
      <c r="K112" s="204">
        <v>80</v>
      </c>
      <c r="L112" s="205">
        <v>935333.13273477182</v>
      </c>
      <c r="M112" s="206">
        <v>0.82611053194163553</v>
      </c>
    </row>
    <row r="113" spans="11:13" x14ac:dyDescent="0.3">
      <c r="K113" s="204">
        <v>81</v>
      </c>
      <c r="L113" s="205">
        <v>171976.4777888041</v>
      </c>
      <c r="M113" s="206">
        <v>0.51578400542252689</v>
      </c>
    </row>
    <row r="114" spans="11:13" x14ac:dyDescent="0.3">
      <c r="K114" s="204">
        <v>82</v>
      </c>
      <c r="L114" s="205">
        <v>625293.19302752148</v>
      </c>
      <c r="M114" s="206">
        <v>0.69570153184269046</v>
      </c>
    </row>
    <row r="115" spans="11:13" x14ac:dyDescent="0.3">
      <c r="K115" s="204">
        <v>83</v>
      </c>
      <c r="L115" s="205">
        <v>364603.37965185754</v>
      </c>
      <c r="M115" s="206">
        <v>0.60480378768276943</v>
      </c>
    </row>
    <row r="116" spans="11:13" x14ac:dyDescent="0.3">
      <c r="K116" s="204">
        <v>84</v>
      </c>
      <c r="L116" s="205">
        <v>936720.29405933106</v>
      </c>
      <c r="M116" s="206">
        <v>0.81619217801075217</v>
      </c>
    </row>
    <row r="117" spans="11:13" x14ac:dyDescent="0.3">
      <c r="K117" s="204">
        <v>85</v>
      </c>
      <c r="L117" s="205">
        <v>259579.9202869921</v>
      </c>
      <c r="M117" s="206">
        <v>0.55409940876425989</v>
      </c>
    </row>
    <row r="118" spans="11:13" x14ac:dyDescent="0.3">
      <c r="K118" s="204">
        <v>86</v>
      </c>
      <c r="L118" s="205">
        <v>320474.77238413086</v>
      </c>
      <c r="M118" s="206">
        <v>0.56568880084034068</v>
      </c>
    </row>
    <row r="119" spans="11:13" x14ac:dyDescent="0.3">
      <c r="K119" s="204">
        <v>87</v>
      </c>
      <c r="L119" s="205">
        <v>487733.11273783306</v>
      </c>
      <c r="M119" s="206">
        <v>0.65130319633858291</v>
      </c>
    </row>
    <row r="120" spans="11:13" x14ac:dyDescent="0.3">
      <c r="K120" s="204">
        <v>88</v>
      </c>
      <c r="L120" s="205">
        <v>548278.49392173579</v>
      </c>
      <c r="M120" s="206">
        <v>0.65349914692267164</v>
      </c>
    </row>
    <row r="121" spans="11:13" x14ac:dyDescent="0.3">
      <c r="K121" s="204">
        <v>89</v>
      </c>
      <c r="L121" s="205">
        <v>472550.96451722831</v>
      </c>
      <c r="M121" s="206">
        <v>0.62116292893924041</v>
      </c>
    </row>
    <row r="122" spans="11:13" x14ac:dyDescent="0.3">
      <c r="K122" s="204">
        <v>90</v>
      </c>
      <c r="L122" s="205">
        <v>829265.02530616242</v>
      </c>
      <c r="M122" s="206">
        <v>0.76644732924978154</v>
      </c>
    </row>
    <row r="123" spans="11:13" x14ac:dyDescent="0.3">
      <c r="K123" s="204">
        <v>91</v>
      </c>
      <c r="L123" s="205">
        <v>-25205.216202980839</v>
      </c>
      <c r="M123" s="206">
        <v>0.44685174317455956</v>
      </c>
    </row>
    <row r="124" spans="11:13" x14ac:dyDescent="0.3">
      <c r="K124" s="204">
        <v>92</v>
      </c>
      <c r="L124" s="205">
        <v>463143.21008351585</v>
      </c>
      <c r="M124" s="206">
        <v>0.63675118205887937</v>
      </c>
    </row>
    <row r="125" spans="11:13" x14ac:dyDescent="0.3">
      <c r="K125" s="204">
        <v>93</v>
      </c>
      <c r="L125" s="205">
        <v>395984.71963405749</v>
      </c>
      <c r="M125" s="206">
        <v>0.60315203096778625</v>
      </c>
    </row>
    <row r="126" spans="11:13" x14ac:dyDescent="0.3">
      <c r="K126" s="204">
        <v>94</v>
      </c>
      <c r="L126" s="205">
        <v>922056.05533420527</v>
      </c>
      <c r="M126" s="206">
        <v>0.76923010168896755</v>
      </c>
    </row>
    <row r="127" spans="11:13" x14ac:dyDescent="0.3">
      <c r="K127" s="204">
        <v>95</v>
      </c>
      <c r="L127" s="205">
        <v>552133.38953528926</v>
      </c>
      <c r="M127" s="206">
        <v>0.66850004119361373</v>
      </c>
    </row>
    <row r="128" spans="11:13" x14ac:dyDescent="0.3">
      <c r="K128" s="204">
        <v>96</v>
      </c>
      <c r="L128" s="205">
        <v>254776.9293315676</v>
      </c>
      <c r="M128" s="206">
        <v>0.55857552338023941</v>
      </c>
    </row>
    <row r="129" spans="11:13" x14ac:dyDescent="0.3">
      <c r="K129" s="204">
        <v>97</v>
      </c>
      <c r="L129" s="205">
        <v>506004.69301143102</v>
      </c>
      <c r="M129" s="206">
        <v>0.63873368273103215</v>
      </c>
    </row>
    <row r="130" spans="11:13" x14ac:dyDescent="0.3">
      <c r="K130" s="204">
        <v>98</v>
      </c>
      <c r="L130" s="205">
        <v>870495.31699289428</v>
      </c>
      <c r="M130" s="206">
        <v>0.79247904852337081</v>
      </c>
    </row>
    <row r="131" spans="11:13" x14ac:dyDescent="0.3">
      <c r="K131" s="204">
        <v>99</v>
      </c>
      <c r="L131" s="205">
        <v>784350.79708659183</v>
      </c>
      <c r="M131" s="206">
        <v>0.74659825253535916</v>
      </c>
    </row>
    <row r="132" spans="11:13" x14ac:dyDescent="0.3">
      <c r="K132" s="204">
        <v>100</v>
      </c>
      <c r="L132" s="205">
        <v>585544.73750598216</v>
      </c>
      <c r="M132" s="206">
        <v>0.6760737298626498</v>
      </c>
    </row>
    <row r="133" spans="11:13" x14ac:dyDescent="0.3">
      <c r="K133" s="204">
        <v>101</v>
      </c>
      <c r="L133" s="205">
        <v>739026.69400954107</v>
      </c>
      <c r="M133" s="206">
        <v>0.72494926473643684</v>
      </c>
    </row>
    <row r="134" spans="11:13" x14ac:dyDescent="0.3">
      <c r="K134" s="204">
        <v>102</v>
      </c>
      <c r="L134" s="205">
        <v>744476.59013103927</v>
      </c>
      <c r="M134" s="206">
        <v>0.74123171109191954</v>
      </c>
    </row>
    <row r="135" spans="11:13" x14ac:dyDescent="0.3">
      <c r="K135" s="204">
        <v>103</v>
      </c>
      <c r="L135" s="205">
        <v>715258.05625805119</v>
      </c>
      <c r="M135" s="206">
        <v>0.73327982458208885</v>
      </c>
    </row>
    <row r="136" spans="11:13" x14ac:dyDescent="0.3">
      <c r="K136" s="204">
        <v>104</v>
      </c>
      <c r="L136" s="205">
        <v>586862.4175988487</v>
      </c>
      <c r="M136" s="206">
        <v>0.68697823085546927</v>
      </c>
    </row>
    <row r="137" spans="11:13" x14ac:dyDescent="0.3">
      <c r="K137" s="204">
        <v>105</v>
      </c>
      <c r="L137" s="205">
        <v>421968.15246227104</v>
      </c>
      <c r="M137" s="206">
        <v>0.61131899407598511</v>
      </c>
    </row>
    <row r="138" spans="11:13" x14ac:dyDescent="0.3">
      <c r="K138" s="204">
        <v>106</v>
      </c>
      <c r="L138" s="205">
        <v>624143.00026358292</v>
      </c>
      <c r="M138" s="206">
        <v>0.67771546104141844</v>
      </c>
    </row>
    <row r="139" spans="11:13" x14ac:dyDescent="0.3">
      <c r="K139" s="204">
        <v>107</v>
      </c>
      <c r="L139" s="205">
        <v>1174195.5340048564</v>
      </c>
      <c r="M139" s="206">
        <v>0.86690389600304907</v>
      </c>
    </row>
    <row r="140" spans="11:13" x14ac:dyDescent="0.3">
      <c r="K140" s="204">
        <v>108</v>
      </c>
      <c r="L140" s="205">
        <v>1076947.7870038007</v>
      </c>
      <c r="M140" s="206">
        <v>0.83815576819585802</v>
      </c>
    </row>
    <row r="141" spans="11:13" x14ac:dyDescent="0.3">
      <c r="K141" s="204">
        <v>109</v>
      </c>
      <c r="L141" s="205">
        <v>140986.81159372907</v>
      </c>
      <c r="M141" s="206">
        <v>0.51272225511313585</v>
      </c>
    </row>
    <row r="142" spans="11:13" x14ac:dyDescent="0.3">
      <c r="K142" s="204">
        <v>110</v>
      </c>
      <c r="L142" s="205">
        <v>725044.94019657513</v>
      </c>
      <c r="M142" s="206">
        <v>0.76248428697153781</v>
      </c>
    </row>
    <row r="143" spans="11:13" x14ac:dyDescent="0.3">
      <c r="K143" s="204">
        <v>111</v>
      </c>
      <c r="L143" s="205">
        <v>362167.48592357617</v>
      </c>
      <c r="M143" s="206">
        <v>0.59245286881180603</v>
      </c>
    </row>
    <row r="144" spans="11:13" x14ac:dyDescent="0.3">
      <c r="K144" s="204">
        <v>112</v>
      </c>
      <c r="L144" s="205">
        <v>608972.13956824085</v>
      </c>
      <c r="M144" s="206">
        <v>0.68155474635488456</v>
      </c>
    </row>
    <row r="145" spans="11:13" x14ac:dyDescent="0.3">
      <c r="K145" s="204">
        <v>113</v>
      </c>
      <c r="L145" s="205">
        <v>482960.92993253004</v>
      </c>
      <c r="M145" s="206">
        <v>0.61792155561057327</v>
      </c>
    </row>
    <row r="146" spans="11:13" x14ac:dyDescent="0.3">
      <c r="K146" s="204">
        <v>114</v>
      </c>
      <c r="L146" s="205">
        <v>229641.01926177926</v>
      </c>
      <c r="M146" s="206">
        <v>0.54039046958464909</v>
      </c>
    </row>
    <row r="147" spans="11:13" x14ac:dyDescent="0.3">
      <c r="K147" s="204">
        <v>115</v>
      </c>
      <c r="L147" s="205">
        <v>812642.98990163766</v>
      </c>
      <c r="M147" s="206">
        <v>0.77603630176728711</v>
      </c>
    </row>
    <row r="148" spans="11:13" x14ac:dyDescent="0.3">
      <c r="K148" s="204">
        <v>116</v>
      </c>
      <c r="L148" s="205">
        <v>700527.58135540271</v>
      </c>
      <c r="M148" s="206">
        <v>0.75130831345839733</v>
      </c>
    </row>
    <row r="149" spans="11:13" x14ac:dyDescent="0.3">
      <c r="K149" s="204">
        <v>117</v>
      </c>
      <c r="L149" s="205">
        <v>433764.13718859293</v>
      </c>
      <c r="M149" s="206">
        <v>0.62470605117067302</v>
      </c>
    </row>
    <row r="150" spans="11:13" x14ac:dyDescent="0.3">
      <c r="K150" s="204">
        <v>118</v>
      </c>
      <c r="L150" s="205">
        <v>669826.13607613044</v>
      </c>
      <c r="M150" s="206">
        <v>0.71003159565824792</v>
      </c>
    </row>
    <row r="151" spans="11:13" x14ac:dyDescent="0.3">
      <c r="K151" s="204">
        <v>119</v>
      </c>
      <c r="L151" s="205">
        <v>585288.26486644056</v>
      </c>
      <c r="M151" s="206">
        <v>0.68282568755641471</v>
      </c>
    </row>
    <row r="152" spans="11:13" x14ac:dyDescent="0.3">
      <c r="K152" s="204">
        <v>120</v>
      </c>
      <c r="L152" s="205">
        <v>493761.06878840132</v>
      </c>
      <c r="M152" s="206">
        <v>0.64665876846577452</v>
      </c>
    </row>
    <row r="153" spans="11:13" x14ac:dyDescent="0.3">
      <c r="K153" s="204">
        <v>121</v>
      </c>
      <c r="L153" s="205">
        <v>694536.51829462405</v>
      </c>
      <c r="M153" s="206">
        <v>0.71431908518857035</v>
      </c>
    </row>
    <row r="154" spans="11:13" x14ac:dyDescent="0.3">
      <c r="K154" s="204">
        <v>122</v>
      </c>
      <c r="L154" s="205">
        <v>516184.26309211692</v>
      </c>
      <c r="M154" s="206">
        <v>0.64874682302182718</v>
      </c>
    </row>
    <row r="155" spans="11:13" x14ac:dyDescent="0.3">
      <c r="K155" s="204">
        <v>123</v>
      </c>
      <c r="L155" s="205">
        <v>920868.15296172025</v>
      </c>
      <c r="M155" s="206">
        <v>0.78908233682314255</v>
      </c>
    </row>
    <row r="156" spans="11:13" x14ac:dyDescent="0.3">
      <c r="K156" s="204">
        <v>124</v>
      </c>
      <c r="L156" s="205">
        <v>459643.41036397591</v>
      </c>
      <c r="M156" s="206">
        <v>0.63241070885020445</v>
      </c>
    </row>
    <row r="157" spans="11:13" x14ac:dyDescent="0.3">
      <c r="K157" s="204">
        <v>125</v>
      </c>
      <c r="L157" s="205">
        <v>495827.49263563426</v>
      </c>
      <c r="M157" s="206">
        <v>0.63545840506558271</v>
      </c>
    </row>
    <row r="158" spans="11:13" x14ac:dyDescent="0.3">
      <c r="K158" s="204">
        <v>126</v>
      </c>
      <c r="L158" s="205">
        <v>311821.83520365134</v>
      </c>
      <c r="M158" s="206">
        <v>0.57183586961596822</v>
      </c>
    </row>
    <row r="159" spans="11:13" x14ac:dyDescent="0.3">
      <c r="K159" s="204">
        <v>127</v>
      </c>
      <c r="L159" s="205">
        <v>404486.30161239579</v>
      </c>
      <c r="M159" s="206">
        <v>0.60137934775583268</v>
      </c>
    </row>
    <row r="160" spans="11:13" x14ac:dyDescent="0.3">
      <c r="K160" s="204">
        <v>128</v>
      </c>
      <c r="L160" s="205">
        <v>-255302.6923769468</v>
      </c>
      <c r="M160" s="206">
        <v>0.36887111934961347</v>
      </c>
    </row>
    <row r="161" spans="11:13" x14ac:dyDescent="0.3">
      <c r="K161" s="204">
        <v>129</v>
      </c>
      <c r="L161" s="205">
        <v>793970.75475299964</v>
      </c>
      <c r="M161" s="206">
        <v>0.75895005614685562</v>
      </c>
    </row>
    <row r="162" spans="11:13" x14ac:dyDescent="0.3">
      <c r="K162" s="204">
        <v>130</v>
      </c>
      <c r="L162" s="205">
        <v>819602.92295790371</v>
      </c>
      <c r="M162" s="206">
        <v>0.7773427481593449</v>
      </c>
    </row>
    <row r="163" spans="11:13" x14ac:dyDescent="0.3">
      <c r="K163" s="204">
        <v>131</v>
      </c>
      <c r="L163" s="205">
        <v>362726.94862344023</v>
      </c>
      <c r="M163" s="206">
        <v>0.59050178976074741</v>
      </c>
    </row>
    <row r="164" spans="11:13" x14ac:dyDescent="0.3">
      <c r="K164" s="204">
        <v>132</v>
      </c>
      <c r="L164" s="205">
        <v>696083.16940791346</v>
      </c>
      <c r="M164" s="206">
        <v>0.70534751186785671</v>
      </c>
    </row>
    <row r="165" spans="11:13" x14ac:dyDescent="0.3">
      <c r="K165" s="204">
        <v>133</v>
      </c>
      <c r="L165" s="205">
        <v>621701.89902032726</v>
      </c>
      <c r="M165" s="206">
        <v>0.69581823958187949</v>
      </c>
    </row>
    <row r="166" spans="11:13" x14ac:dyDescent="0.3">
      <c r="K166" s="204">
        <v>134</v>
      </c>
      <c r="L166" s="205">
        <v>1036408.2861565454</v>
      </c>
      <c r="M166" s="206">
        <v>0.85556130506764294</v>
      </c>
    </row>
    <row r="167" spans="11:13" x14ac:dyDescent="0.3">
      <c r="K167" s="204">
        <v>135</v>
      </c>
      <c r="L167" s="205">
        <v>454842.4450806533</v>
      </c>
      <c r="M167" s="206">
        <v>0.63526095178286024</v>
      </c>
    </row>
    <row r="168" spans="11:13" x14ac:dyDescent="0.3">
      <c r="K168" s="204">
        <v>136</v>
      </c>
      <c r="L168" s="205">
        <v>554502.14094875194</v>
      </c>
      <c r="M168" s="206">
        <v>0.66908717222500713</v>
      </c>
    </row>
    <row r="169" spans="11:13" x14ac:dyDescent="0.3">
      <c r="K169" s="204">
        <v>137</v>
      </c>
      <c r="L169" s="205">
        <v>280512.08600636246</v>
      </c>
      <c r="M169" s="206">
        <v>0.55661884520649041</v>
      </c>
    </row>
    <row r="170" spans="11:13" x14ac:dyDescent="0.3">
      <c r="K170" s="204">
        <v>138</v>
      </c>
      <c r="L170" s="205">
        <v>520234.14107302576</v>
      </c>
      <c r="M170" s="206">
        <v>0.64840793560335763</v>
      </c>
    </row>
    <row r="171" spans="11:13" x14ac:dyDescent="0.3">
      <c r="K171" s="204">
        <v>139</v>
      </c>
      <c r="L171" s="205">
        <v>270142.09454436554</v>
      </c>
      <c r="M171" s="206">
        <v>0.55683616560517901</v>
      </c>
    </row>
    <row r="172" spans="11:13" x14ac:dyDescent="0.3">
      <c r="K172" s="204">
        <v>140</v>
      </c>
      <c r="L172" s="205">
        <v>773524.10971614206</v>
      </c>
      <c r="M172" s="206">
        <v>0.73863425747754019</v>
      </c>
    </row>
    <row r="173" spans="11:13" x14ac:dyDescent="0.3">
      <c r="K173" s="204">
        <v>141</v>
      </c>
      <c r="L173" s="205">
        <v>674808.11673399759</v>
      </c>
      <c r="M173" s="206">
        <v>0.71950859498295028</v>
      </c>
    </row>
    <row r="174" spans="11:13" x14ac:dyDescent="0.3">
      <c r="K174" s="204">
        <v>142</v>
      </c>
      <c r="L174" s="205">
        <v>887838.24560241355</v>
      </c>
      <c r="M174" s="206">
        <v>0.79155025807679791</v>
      </c>
    </row>
    <row r="175" spans="11:13" x14ac:dyDescent="0.3">
      <c r="K175" s="204">
        <v>143</v>
      </c>
      <c r="L175" s="205">
        <v>321978.23379769176</v>
      </c>
      <c r="M175" s="206">
        <v>0.58493569560568459</v>
      </c>
    </row>
    <row r="176" spans="11:13" x14ac:dyDescent="0.3">
      <c r="K176" s="204">
        <v>144</v>
      </c>
      <c r="L176" s="205">
        <v>1004250.1835664217</v>
      </c>
      <c r="M176" s="206">
        <v>0.86268239974363614</v>
      </c>
    </row>
    <row r="177" spans="11:13" x14ac:dyDescent="0.3">
      <c r="K177" s="204">
        <v>145</v>
      </c>
      <c r="L177" s="205">
        <v>389240.46724325558</v>
      </c>
      <c r="M177" s="206">
        <v>0.59712370380149093</v>
      </c>
    </row>
    <row r="178" spans="11:13" x14ac:dyDescent="0.3">
      <c r="K178" s="204">
        <v>146</v>
      </c>
      <c r="L178" s="205">
        <v>496695.84353346424</v>
      </c>
      <c r="M178" s="206">
        <v>0.62993459831554999</v>
      </c>
    </row>
    <row r="179" spans="11:13" x14ac:dyDescent="0.3">
      <c r="K179" s="204">
        <v>147</v>
      </c>
      <c r="L179" s="205">
        <v>371677.00284686359</v>
      </c>
      <c r="M179" s="206">
        <v>0.59413221408751649</v>
      </c>
    </row>
    <row r="180" spans="11:13" x14ac:dyDescent="0.3">
      <c r="K180" s="204">
        <v>148</v>
      </c>
      <c r="L180" s="205">
        <v>836611.7257336094</v>
      </c>
      <c r="M180" s="206">
        <v>0.74757764238527069</v>
      </c>
    </row>
    <row r="181" spans="11:13" x14ac:dyDescent="0.3">
      <c r="K181" s="204">
        <v>149</v>
      </c>
      <c r="L181" s="205">
        <v>621950.47572644195</v>
      </c>
      <c r="M181" s="206">
        <v>0.69271175316208344</v>
      </c>
    </row>
    <row r="182" spans="11:13" x14ac:dyDescent="0.3">
      <c r="K182" s="204">
        <v>150</v>
      </c>
      <c r="L182" s="205">
        <v>870646.13963820692</v>
      </c>
      <c r="M182" s="206">
        <v>0.78825006202939485</v>
      </c>
    </row>
    <row r="183" spans="11:13" x14ac:dyDescent="0.3">
      <c r="K183" s="204">
        <v>151</v>
      </c>
      <c r="L183" s="205">
        <v>433171.05478198733</v>
      </c>
      <c r="M183" s="206">
        <v>0.61336195108291447</v>
      </c>
    </row>
    <row r="184" spans="11:13" x14ac:dyDescent="0.3">
      <c r="K184" s="204">
        <v>152</v>
      </c>
      <c r="L184" s="205">
        <v>459129.08044791501</v>
      </c>
      <c r="M184" s="206">
        <v>0.6272412429219858</v>
      </c>
    </row>
    <row r="185" spans="11:13" x14ac:dyDescent="0.3">
      <c r="K185" s="204">
        <v>153</v>
      </c>
      <c r="L185" s="205">
        <v>675154.69946117792</v>
      </c>
      <c r="M185" s="206">
        <v>0.71625029061209711</v>
      </c>
    </row>
    <row r="186" spans="11:13" x14ac:dyDescent="0.3">
      <c r="K186" s="204">
        <v>154</v>
      </c>
      <c r="L186" s="205">
        <v>729184.32701333193</v>
      </c>
      <c r="M186" s="206">
        <v>0.72787374863066279</v>
      </c>
    </row>
    <row r="187" spans="11:13" x14ac:dyDescent="0.3">
      <c r="K187" s="204">
        <v>155</v>
      </c>
      <c r="L187" s="205">
        <v>586371.45609620353</v>
      </c>
      <c r="M187" s="206">
        <v>0.67459137202415254</v>
      </c>
    </row>
    <row r="188" spans="11:13" x14ac:dyDescent="0.3">
      <c r="K188" s="204">
        <v>156</v>
      </c>
      <c r="L188" s="205">
        <v>572378.67577986326</v>
      </c>
      <c r="M188" s="206">
        <v>0.66651883493906716</v>
      </c>
    </row>
    <row r="189" spans="11:13" x14ac:dyDescent="0.3">
      <c r="K189" s="204">
        <v>157</v>
      </c>
      <c r="L189" s="205">
        <v>952100.44941823045</v>
      </c>
      <c r="M189" s="206">
        <v>0.81634196671991055</v>
      </c>
    </row>
    <row r="190" spans="11:13" x14ac:dyDescent="0.3">
      <c r="K190" s="204">
        <v>158</v>
      </c>
      <c r="L190" s="205">
        <v>838790.48046474159</v>
      </c>
      <c r="M190" s="206">
        <v>0.77507944641977211</v>
      </c>
    </row>
    <row r="191" spans="11:13" x14ac:dyDescent="0.3">
      <c r="K191" s="204">
        <v>159</v>
      </c>
      <c r="L191" s="205">
        <v>1091756.3769330746</v>
      </c>
      <c r="M191" s="206">
        <v>0.88017817919967389</v>
      </c>
    </row>
    <row r="192" spans="11:13" x14ac:dyDescent="0.3">
      <c r="K192" s="204">
        <v>160</v>
      </c>
      <c r="L192" s="205">
        <v>633345.56448422745</v>
      </c>
      <c r="M192" s="206">
        <v>0.67072113152374868</v>
      </c>
    </row>
    <row r="193" spans="11:13" x14ac:dyDescent="0.3">
      <c r="K193" s="204">
        <v>161</v>
      </c>
      <c r="L193" s="205">
        <v>769633.01068849955</v>
      </c>
      <c r="M193" s="206">
        <v>0.74831822484712407</v>
      </c>
    </row>
    <row r="194" spans="11:13" x14ac:dyDescent="0.3">
      <c r="K194" s="204">
        <v>162</v>
      </c>
      <c r="L194" s="205">
        <v>412178.30864198739</v>
      </c>
      <c r="M194" s="206">
        <v>0.61203579646775386</v>
      </c>
    </row>
    <row r="195" spans="11:13" x14ac:dyDescent="0.3">
      <c r="K195" s="204">
        <v>163</v>
      </c>
      <c r="L195" s="205">
        <v>696073.29740029341</v>
      </c>
      <c r="M195" s="206">
        <v>0.72270054183496013</v>
      </c>
    </row>
    <row r="196" spans="11:13" x14ac:dyDescent="0.3">
      <c r="K196" s="204">
        <v>164</v>
      </c>
      <c r="L196" s="205">
        <v>916901.48439666536</v>
      </c>
      <c r="M196" s="206">
        <v>0.78994336654590236</v>
      </c>
    </row>
    <row r="197" spans="11:13" x14ac:dyDescent="0.3">
      <c r="K197" s="204">
        <v>165</v>
      </c>
      <c r="L197" s="205">
        <v>452753.78813157137</v>
      </c>
      <c r="M197" s="206">
        <v>0.63037576057872702</v>
      </c>
    </row>
    <row r="198" spans="11:13" x14ac:dyDescent="0.3">
      <c r="K198" s="204">
        <v>166</v>
      </c>
      <c r="L198" s="205">
        <v>730773.98647608701</v>
      </c>
      <c r="M198" s="206">
        <v>0.75005978506037319</v>
      </c>
    </row>
    <row r="199" spans="11:13" x14ac:dyDescent="0.3">
      <c r="K199" s="204">
        <v>167</v>
      </c>
      <c r="L199" s="205">
        <v>1304971.2418773361</v>
      </c>
      <c r="M199" s="206">
        <v>0.94315325022836016</v>
      </c>
    </row>
    <row r="200" spans="11:13" x14ac:dyDescent="0.3">
      <c r="K200" s="204">
        <v>168</v>
      </c>
      <c r="L200" s="205">
        <v>377365.49190050783</v>
      </c>
      <c r="M200" s="206">
        <v>0.60071642573917572</v>
      </c>
    </row>
    <row r="201" spans="11:13" x14ac:dyDescent="0.3">
      <c r="K201" s="204">
        <v>169</v>
      </c>
      <c r="L201" s="205">
        <v>58480.825870877597</v>
      </c>
      <c r="M201" s="206">
        <v>0.47990344996536805</v>
      </c>
    </row>
    <row r="202" spans="11:13" x14ac:dyDescent="0.3">
      <c r="K202" s="204">
        <v>170</v>
      </c>
      <c r="L202" s="205">
        <v>248566.40499530826</v>
      </c>
      <c r="M202" s="206">
        <v>0.54822675111050168</v>
      </c>
    </row>
    <row r="203" spans="11:13" x14ac:dyDescent="0.3">
      <c r="K203" s="204">
        <v>171</v>
      </c>
      <c r="L203" s="205">
        <v>685226.45239270804</v>
      </c>
      <c r="M203" s="206">
        <v>0.70856108152710284</v>
      </c>
    </row>
    <row r="204" spans="11:13" x14ac:dyDescent="0.3">
      <c r="K204" s="204">
        <v>172</v>
      </c>
      <c r="L204" s="205">
        <v>752382.73715508357</v>
      </c>
      <c r="M204" s="206">
        <v>0.74055300591670337</v>
      </c>
    </row>
    <row r="205" spans="11:13" x14ac:dyDescent="0.3">
      <c r="K205" s="204">
        <v>173</v>
      </c>
      <c r="L205" s="205">
        <v>412503.64448337909</v>
      </c>
      <c r="M205" s="206">
        <v>0.62931346200860805</v>
      </c>
    </row>
    <row r="206" spans="11:13" x14ac:dyDescent="0.3">
      <c r="K206" s="204">
        <v>174</v>
      </c>
      <c r="L206" s="205">
        <v>325867.58295639744</v>
      </c>
      <c r="M206" s="206">
        <v>0.5837810057562165</v>
      </c>
    </row>
    <row r="207" spans="11:13" x14ac:dyDescent="0.3">
      <c r="K207" s="204">
        <v>175</v>
      </c>
      <c r="L207" s="205">
        <v>540412.45106824161</v>
      </c>
      <c r="M207" s="206">
        <v>0.64290509730788759</v>
      </c>
    </row>
    <row r="208" spans="11:13" x14ac:dyDescent="0.3">
      <c r="K208" s="204">
        <v>176</v>
      </c>
      <c r="L208" s="205">
        <v>678767.7025608765</v>
      </c>
      <c r="M208" s="206">
        <v>0.70607636196730494</v>
      </c>
    </row>
    <row r="209" spans="11:13" x14ac:dyDescent="0.3">
      <c r="K209" s="204">
        <v>177</v>
      </c>
      <c r="L209" s="205">
        <v>862478.75401293952</v>
      </c>
      <c r="M209" s="206">
        <v>0.76688097160282021</v>
      </c>
    </row>
    <row r="210" spans="11:13" x14ac:dyDescent="0.3">
      <c r="K210" s="204">
        <v>178</v>
      </c>
      <c r="L210" s="205">
        <v>703834.33731274446</v>
      </c>
      <c r="M210" s="206">
        <v>0.69619804772826654</v>
      </c>
    </row>
    <row r="211" spans="11:13" x14ac:dyDescent="0.3">
      <c r="K211" s="204">
        <v>179</v>
      </c>
      <c r="L211" s="205">
        <v>766193.7254572846</v>
      </c>
      <c r="M211" s="206">
        <v>0.73822806488960047</v>
      </c>
    </row>
    <row r="212" spans="11:13" x14ac:dyDescent="0.3">
      <c r="K212" s="204">
        <v>180</v>
      </c>
      <c r="L212" s="205">
        <v>913048.95185129717</v>
      </c>
      <c r="M212" s="206">
        <v>0.78304733036758578</v>
      </c>
    </row>
    <row r="213" spans="11:13" x14ac:dyDescent="0.3">
      <c r="K213" s="204">
        <v>181</v>
      </c>
      <c r="L213" s="205">
        <v>716345.86995857209</v>
      </c>
      <c r="M213" s="206">
        <v>0.69592925179256926</v>
      </c>
    </row>
    <row r="214" spans="11:13" x14ac:dyDescent="0.3">
      <c r="K214" s="204">
        <v>182</v>
      </c>
      <c r="L214" s="205">
        <v>487756.75870703626</v>
      </c>
      <c r="M214" s="206">
        <v>0.63984195425112933</v>
      </c>
    </row>
    <row r="215" spans="11:13" x14ac:dyDescent="0.3">
      <c r="K215" s="204">
        <v>183</v>
      </c>
      <c r="L215" s="205">
        <v>728506.00427825237</v>
      </c>
      <c r="M215" s="206">
        <v>0.75289220715090854</v>
      </c>
    </row>
    <row r="216" spans="11:13" x14ac:dyDescent="0.3">
      <c r="K216" s="204">
        <v>184</v>
      </c>
      <c r="L216" s="205">
        <v>181184.54519322421</v>
      </c>
      <c r="M216" s="206">
        <v>0.53049696555147818</v>
      </c>
    </row>
    <row r="217" spans="11:13" x14ac:dyDescent="0.3">
      <c r="K217" s="204">
        <v>185</v>
      </c>
      <c r="L217" s="205">
        <v>1077300.4844580288</v>
      </c>
      <c r="M217" s="206">
        <v>0.87123170241007486</v>
      </c>
    </row>
    <row r="218" spans="11:13" x14ac:dyDescent="0.3">
      <c r="K218" s="204">
        <v>186</v>
      </c>
      <c r="L218" s="205">
        <v>1202299.3435323518</v>
      </c>
      <c r="M218" s="206">
        <v>0.87819641587132602</v>
      </c>
    </row>
    <row r="219" spans="11:13" x14ac:dyDescent="0.3">
      <c r="K219" s="204">
        <v>187</v>
      </c>
      <c r="L219" s="205">
        <v>676092.06326629966</v>
      </c>
      <c r="M219" s="206">
        <v>0.69979425023577457</v>
      </c>
    </row>
    <row r="220" spans="11:13" x14ac:dyDescent="0.3">
      <c r="K220" s="204">
        <v>188</v>
      </c>
      <c r="L220" s="205">
        <v>386972.02437003003</v>
      </c>
      <c r="M220" s="206">
        <v>0.60783251829464491</v>
      </c>
    </row>
    <row r="221" spans="11:13" x14ac:dyDescent="0.3">
      <c r="K221" s="204">
        <v>189</v>
      </c>
      <c r="L221" s="205">
        <v>833519.16818402987</v>
      </c>
      <c r="M221" s="206">
        <v>0.77841832565473479</v>
      </c>
    </row>
    <row r="222" spans="11:13" x14ac:dyDescent="0.3">
      <c r="K222" s="204">
        <v>190</v>
      </c>
      <c r="L222" s="205">
        <v>427342.06811991334</v>
      </c>
      <c r="M222" s="206">
        <v>0.6247415724679708</v>
      </c>
    </row>
    <row r="223" spans="11:13" x14ac:dyDescent="0.3">
      <c r="K223" s="204">
        <v>191</v>
      </c>
      <c r="L223" s="205">
        <v>1156184.0556121594</v>
      </c>
      <c r="M223" s="206">
        <v>0.89631494789908106</v>
      </c>
    </row>
    <row r="224" spans="11:13" x14ac:dyDescent="0.3">
      <c r="K224" s="204">
        <v>192</v>
      </c>
      <c r="L224" s="205">
        <v>583438.42749003973</v>
      </c>
      <c r="M224" s="206">
        <v>0.67333634319074154</v>
      </c>
    </row>
    <row r="225" spans="11:13" x14ac:dyDescent="0.3">
      <c r="K225" s="204">
        <v>193</v>
      </c>
      <c r="L225" s="205">
        <v>1346715.0590540254</v>
      </c>
      <c r="M225" s="206">
        <v>0.92791763508381719</v>
      </c>
    </row>
    <row r="226" spans="11:13" x14ac:dyDescent="0.3">
      <c r="K226" s="204">
        <v>194</v>
      </c>
      <c r="L226" s="205">
        <v>241656.98588886159</v>
      </c>
      <c r="M226" s="206">
        <v>0.54780461865153018</v>
      </c>
    </row>
    <row r="227" spans="11:13" x14ac:dyDescent="0.3">
      <c r="K227" s="204">
        <v>195</v>
      </c>
      <c r="L227" s="205">
        <v>810457.86510209972</v>
      </c>
      <c r="M227" s="206">
        <v>0.76734310999038069</v>
      </c>
    </row>
    <row r="228" spans="11:13" x14ac:dyDescent="0.3">
      <c r="K228" s="204">
        <v>196</v>
      </c>
      <c r="L228" s="205">
        <v>330855.23428696441</v>
      </c>
      <c r="M228" s="206">
        <v>0.57903106576076113</v>
      </c>
    </row>
    <row r="229" spans="11:13" x14ac:dyDescent="0.3">
      <c r="K229" s="204">
        <v>197</v>
      </c>
      <c r="L229" s="205">
        <v>515930.53967444552</v>
      </c>
      <c r="M229" s="206">
        <v>0.6519325954758024</v>
      </c>
    </row>
    <row r="230" spans="11:13" x14ac:dyDescent="0.3">
      <c r="K230" s="204">
        <v>198</v>
      </c>
      <c r="L230" s="205">
        <v>605239.33335665287</v>
      </c>
      <c r="M230" s="206">
        <v>0.68463013392950733</v>
      </c>
    </row>
    <row r="231" spans="11:13" x14ac:dyDescent="0.3">
      <c r="K231" s="204">
        <v>199</v>
      </c>
      <c r="L231" s="205">
        <v>634168.756190632</v>
      </c>
      <c r="M231" s="206">
        <v>0.69189657101911917</v>
      </c>
    </row>
    <row r="232" spans="11:13" x14ac:dyDescent="0.3">
      <c r="K232" s="204">
        <v>200</v>
      </c>
      <c r="L232" s="205">
        <v>1265221.4175694278</v>
      </c>
      <c r="M232" s="206">
        <v>0.93774310657738291</v>
      </c>
    </row>
    <row r="233" spans="11:13" x14ac:dyDescent="0.3">
      <c r="K233" s="204">
        <v>201</v>
      </c>
      <c r="L233" s="205">
        <v>535470.46118676616</v>
      </c>
      <c r="M233" s="206">
        <v>0.66284516418448436</v>
      </c>
    </row>
    <row r="234" spans="11:13" x14ac:dyDescent="0.3">
      <c r="K234" s="204">
        <v>202</v>
      </c>
      <c r="L234" s="205">
        <v>674244.93255589483</v>
      </c>
      <c r="M234" s="206">
        <v>0.71550532342126205</v>
      </c>
    </row>
    <row r="235" spans="11:13" x14ac:dyDescent="0.3">
      <c r="K235" s="204">
        <v>203</v>
      </c>
      <c r="L235" s="205">
        <v>893773.0215416681</v>
      </c>
      <c r="M235" s="206">
        <v>0.79657586701775607</v>
      </c>
    </row>
    <row r="236" spans="11:13" x14ac:dyDescent="0.3">
      <c r="K236" s="204">
        <v>204</v>
      </c>
      <c r="L236" s="205">
        <v>790810.39632420801</v>
      </c>
      <c r="M236" s="206">
        <v>0.7439917254705406</v>
      </c>
    </row>
    <row r="237" spans="11:13" x14ac:dyDescent="0.3">
      <c r="K237" s="204">
        <v>205</v>
      </c>
      <c r="L237" s="205">
        <v>405579.16234176094</v>
      </c>
      <c r="M237" s="206">
        <v>0.6177812678404353</v>
      </c>
    </row>
    <row r="238" spans="11:13" x14ac:dyDescent="0.3">
      <c r="K238" s="204">
        <v>206</v>
      </c>
      <c r="L238" s="205">
        <v>901886.72717132652</v>
      </c>
      <c r="M238" s="206">
        <v>0.79326689872441447</v>
      </c>
    </row>
    <row r="239" spans="11:13" x14ac:dyDescent="0.3">
      <c r="K239" s="204">
        <v>207</v>
      </c>
      <c r="L239" s="205">
        <v>92021.262193742208</v>
      </c>
      <c r="M239" s="206">
        <v>0.48981829059388349</v>
      </c>
    </row>
    <row r="240" spans="11:13" x14ac:dyDescent="0.3">
      <c r="K240" s="204">
        <v>208</v>
      </c>
      <c r="L240" s="205">
        <v>434778.83381083095</v>
      </c>
      <c r="M240" s="206">
        <v>0.62414499952568137</v>
      </c>
    </row>
    <row r="241" spans="11:13" x14ac:dyDescent="0.3">
      <c r="K241" s="204">
        <v>209</v>
      </c>
      <c r="L241" s="205">
        <v>1083298.0676220399</v>
      </c>
      <c r="M241" s="206">
        <v>0.86139247381113027</v>
      </c>
    </row>
    <row r="242" spans="11:13" x14ac:dyDescent="0.3">
      <c r="K242" s="204">
        <v>210</v>
      </c>
      <c r="L242" s="205">
        <v>382612.25372499693</v>
      </c>
      <c r="M242" s="206">
        <v>0.60839475756884243</v>
      </c>
    </row>
    <row r="243" spans="11:13" x14ac:dyDescent="0.3">
      <c r="K243" s="204">
        <v>211</v>
      </c>
      <c r="L243" s="205">
        <v>410593.81797217485</v>
      </c>
      <c r="M243" s="206">
        <v>0.60795082396791367</v>
      </c>
    </row>
    <row r="244" spans="11:13" x14ac:dyDescent="0.3">
      <c r="K244" s="204">
        <v>212</v>
      </c>
      <c r="L244" s="205">
        <v>637497.03264765255</v>
      </c>
      <c r="M244" s="206">
        <v>0.69689281526497115</v>
      </c>
    </row>
    <row r="245" spans="11:13" x14ac:dyDescent="0.3">
      <c r="K245" s="204">
        <v>213</v>
      </c>
      <c r="L245" s="205">
        <v>691662.83027105825</v>
      </c>
      <c r="M245" s="206">
        <v>0.69706182724115018</v>
      </c>
    </row>
    <row r="246" spans="11:13" x14ac:dyDescent="0.3">
      <c r="K246" s="204">
        <v>214</v>
      </c>
      <c r="L246" s="205">
        <v>608079.94829650829</v>
      </c>
      <c r="M246" s="206">
        <v>0.67364477681564394</v>
      </c>
    </row>
    <row r="247" spans="11:13" x14ac:dyDescent="0.3">
      <c r="K247" s="204">
        <v>215</v>
      </c>
      <c r="L247" s="205">
        <v>261348.07763257204</v>
      </c>
      <c r="M247" s="206">
        <v>0.55888100194701917</v>
      </c>
    </row>
    <row r="248" spans="11:13" x14ac:dyDescent="0.3">
      <c r="K248" s="204">
        <v>216</v>
      </c>
      <c r="L248" s="205">
        <v>404419.738112133</v>
      </c>
      <c r="M248" s="206">
        <v>0.60335960345889172</v>
      </c>
    </row>
    <row r="249" spans="11:13" x14ac:dyDescent="0.3">
      <c r="K249" s="204">
        <v>217</v>
      </c>
      <c r="L249" s="205">
        <v>187065.56688751141</v>
      </c>
      <c r="M249" s="206">
        <v>0.52538666722147376</v>
      </c>
    </row>
    <row r="250" spans="11:13" x14ac:dyDescent="0.3">
      <c r="K250" s="204">
        <v>218</v>
      </c>
      <c r="L250" s="205">
        <v>854674.4476545481</v>
      </c>
      <c r="M250" s="206">
        <v>0.78019580046081582</v>
      </c>
    </row>
    <row r="251" spans="11:13" x14ac:dyDescent="0.3">
      <c r="K251" s="204">
        <v>219</v>
      </c>
      <c r="L251" s="205">
        <v>183865.85652889358</v>
      </c>
      <c r="M251" s="206">
        <v>0.53080771610776467</v>
      </c>
    </row>
    <row r="252" spans="11:13" x14ac:dyDescent="0.3">
      <c r="K252" s="204">
        <v>220</v>
      </c>
      <c r="L252" s="205">
        <v>1055744.4392266585</v>
      </c>
      <c r="M252" s="206">
        <v>0.84976470002558568</v>
      </c>
    </row>
    <row r="253" spans="11:13" x14ac:dyDescent="0.3">
      <c r="K253" s="204">
        <v>221</v>
      </c>
      <c r="L253" s="205">
        <v>601815.58335536998</v>
      </c>
      <c r="M253" s="206">
        <v>0.68132215285713338</v>
      </c>
    </row>
    <row r="254" spans="11:13" x14ac:dyDescent="0.3">
      <c r="K254" s="204">
        <v>222</v>
      </c>
      <c r="L254" s="205">
        <v>735135.74077972723</v>
      </c>
      <c r="M254" s="206">
        <v>0.70892152988773049</v>
      </c>
    </row>
    <row r="255" spans="11:13" x14ac:dyDescent="0.3">
      <c r="K255" s="204">
        <v>223</v>
      </c>
      <c r="L255" s="205">
        <v>134869.95257034246</v>
      </c>
      <c r="M255" s="206">
        <v>0.50762225770442759</v>
      </c>
    </row>
    <row r="256" spans="11:13" x14ac:dyDescent="0.3">
      <c r="K256" s="204">
        <v>224</v>
      </c>
      <c r="L256" s="205">
        <v>660347.05492562428</v>
      </c>
      <c r="M256" s="206">
        <v>0.69189149881590062</v>
      </c>
    </row>
    <row r="257" spans="11:13" x14ac:dyDescent="0.3">
      <c r="K257" s="204">
        <v>225</v>
      </c>
      <c r="L257" s="205">
        <v>651424.06923406478</v>
      </c>
      <c r="M257" s="206">
        <v>0.69980484116438224</v>
      </c>
    </row>
    <row r="258" spans="11:13" x14ac:dyDescent="0.3">
      <c r="K258" s="204">
        <v>226</v>
      </c>
      <c r="L258" s="205">
        <v>607597.51985134929</v>
      </c>
      <c r="M258" s="206">
        <v>0.68297848945060702</v>
      </c>
    </row>
    <row r="259" spans="11:13" x14ac:dyDescent="0.3">
      <c r="K259" s="204">
        <v>227</v>
      </c>
      <c r="L259" s="205">
        <v>750522.49801764544</v>
      </c>
      <c r="M259" s="206">
        <v>0.72319688603055754</v>
      </c>
    </row>
    <row r="260" spans="11:13" x14ac:dyDescent="0.3">
      <c r="K260" s="204">
        <v>228</v>
      </c>
      <c r="L260" s="205">
        <v>249998.3773493357</v>
      </c>
      <c r="M260" s="206">
        <v>0.54857934528859897</v>
      </c>
    </row>
    <row r="261" spans="11:13" x14ac:dyDescent="0.3">
      <c r="K261" s="204">
        <v>229</v>
      </c>
      <c r="L261" s="205">
        <v>869872.89831009554</v>
      </c>
      <c r="M261" s="206">
        <v>0.77974964223665633</v>
      </c>
    </row>
    <row r="262" spans="11:13" x14ac:dyDescent="0.3">
      <c r="K262" s="204">
        <v>230</v>
      </c>
      <c r="L262" s="205">
        <v>579433.77743063727</v>
      </c>
      <c r="M262" s="206">
        <v>0.68545271518021966</v>
      </c>
    </row>
    <row r="263" spans="11:13" x14ac:dyDescent="0.3">
      <c r="K263" s="204">
        <v>231</v>
      </c>
      <c r="L263" s="205">
        <v>571332.90473032044</v>
      </c>
      <c r="M263" s="206">
        <v>0.66418592011492872</v>
      </c>
    </row>
    <row r="264" spans="11:13" x14ac:dyDescent="0.3">
      <c r="K264" s="204">
        <v>232</v>
      </c>
      <c r="L264" s="205">
        <v>759778.5497927363</v>
      </c>
      <c r="M264" s="206">
        <v>0.73989439917019428</v>
      </c>
    </row>
    <row r="265" spans="11:13" x14ac:dyDescent="0.3">
      <c r="K265" s="204">
        <v>233</v>
      </c>
      <c r="L265" s="205">
        <v>1053471.0827774405</v>
      </c>
      <c r="M265" s="206">
        <v>0.84700504010448086</v>
      </c>
    </row>
    <row r="266" spans="11:13" x14ac:dyDescent="0.3">
      <c r="K266" s="204">
        <v>234</v>
      </c>
      <c r="L266" s="205">
        <v>798972.09280123794</v>
      </c>
      <c r="M266" s="206">
        <v>0.77762698058510682</v>
      </c>
    </row>
    <row r="267" spans="11:13" x14ac:dyDescent="0.3">
      <c r="K267" s="204">
        <v>235</v>
      </c>
      <c r="L267" s="205">
        <v>439629.67561988346</v>
      </c>
      <c r="M267" s="206">
        <v>0.61494766406037416</v>
      </c>
    </row>
    <row r="268" spans="11:13" x14ac:dyDescent="0.3">
      <c r="K268" s="204">
        <v>236</v>
      </c>
      <c r="L268" s="205">
        <v>565958.30347925844</v>
      </c>
      <c r="M268" s="206">
        <v>0.67631871522518194</v>
      </c>
    </row>
    <row r="269" spans="11:13" x14ac:dyDescent="0.3">
      <c r="K269" s="204">
        <v>237</v>
      </c>
      <c r="L269" s="205">
        <v>767508.87207866274</v>
      </c>
      <c r="M269" s="206">
        <v>0.72167375857953298</v>
      </c>
    </row>
    <row r="270" spans="11:13" x14ac:dyDescent="0.3">
      <c r="K270" s="204">
        <v>238</v>
      </c>
      <c r="L270" s="205">
        <v>903554.02183108637</v>
      </c>
      <c r="M270" s="206">
        <v>0.79567522179396111</v>
      </c>
    </row>
    <row r="271" spans="11:13" x14ac:dyDescent="0.3">
      <c r="K271" s="204">
        <v>239</v>
      </c>
      <c r="L271" s="205">
        <v>741021.55645288806</v>
      </c>
      <c r="M271" s="206">
        <v>0.7276547387569281</v>
      </c>
    </row>
    <row r="272" spans="11:13" x14ac:dyDescent="0.3">
      <c r="K272" s="204">
        <v>240</v>
      </c>
      <c r="L272" s="205">
        <v>580719.06328415172</v>
      </c>
      <c r="M272" s="206">
        <v>0.65857068053653367</v>
      </c>
    </row>
    <row r="273" spans="11:13" x14ac:dyDescent="0.3">
      <c r="K273" s="204">
        <v>241</v>
      </c>
      <c r="L273" s="205">
        <v>730533.08611692302</v>
      </c>
      <c r="M273" s="206">
        <v>0.73677827295676201</v>
      </c>
    </row>
    <row r="274" spans="11:13" x14ac:dyDescent="0.3">
      <c r="K274" s="204">
        <v>242</v>
      </c>
      <c r="L274" s="205">
        <v>592565.49126693374</v>
      </c>
      <c r="M274" s="206">
        <v>0.68984864783588074</v>
      </c>
    </row>
    <row r="275" spans="11:13" x14ac:dyDescent="0.3">
      <c r="K275" s="204">
        <v>243</v>
      </c>
      <c r="L275" s="205">
        <v>673385.34029354388</v>
      </c>
      <c r="M275" s="206">
        <v>0.71111811571844963</v>
      </c>
    </row>
    <row r="276" spans="11:13" x14ac:dyDescent="0.3">
      <c r="K276" s="204">
        <v>244</v>
      </c>
      <c r="L276" s="205">
        <v>582361.20618781913</v>
      </c>
      <c r="M276" s="206">
        <v>0.66912940284434175</v>
      </c>
    </row>
    <row r="277" spans="11:13" x14ac:dyDescent="0.3">
      <c r="K277" s="204">
        <v>245</v>
      </c>
      <c r="L277" s="205">
        <v>545558.3623309508</v>
      </c>
      <c r="M277" s="206">
        <v>0.66811239359607777</v>
      </c>
    </row>
    <row r="278" spans="11:13" x14ac:dyDescent="0.3">
      <c r="K278" s="204">
        <v>246</v>
      </c>
      <c r="L278" s="205">
        <v>525080.69806839246</v>
      </c>
      <c r="M278" s="206">
        <v>0.6518325381730965</v>
      </c>
    </row>
    <row r="279" spans="11:13" x14ac:dyDescent="0.3">
      <c r="K279" s="204">
        <v>247</v>
      </c>
      <c r="L279" s="205">
        <v>205032.19918220816</v>
      </c>
      <c r="M279" s="206">
        <v>0.5350684109064523</v>
      </c>
    </row>
    <row r="280" spans="11:13" x14ac:dyDescent="0.3">
      <c r="K280" s="204">
        <v>248</v>
      </c>
      <c r="L280" s="205">
        <v>622385.75879536057</v>
      </c>
      <c r="M280" s="206">
        <v>0.68775357588965758</v>
      </c>
    </row>
    <row r="281" spans="11:13" x14ac:dyDescent="0.3">
      <c r="K281" s="204">
        <v>249</v>
      </c>
      <c r="L281" s="205">
        <v>499403.11801051907</v>
      </c>
      <c r="M281" s="206">
        <v>0.64649960391055861</v>
      </c>
    </row>
    <row r="282" spans="11:13" x14ac:dyDescent="0.3">
      <c r="K282" s="204">
        <v>250</v>
      </c>
      <c r="L282" s="205">
        <v>584812.59761420591</v>
      </c>
      <c r="M282" s="206">
        <v>0.65822615797438977</v>
      </c>
    </row>
    <row r="283" spans="11:13" x14ac:dyDescent="0.3">
      <c r="K283" s="204">
        <v>251</v>
      </c>
      <c r="L283" s="205">
        <v>407734.22204548819</v>
      </c>
      <c r="M283" s="206">
        <v>0.59848867860176225</v>
      </c>
    </row>
    <row r="284" spans="11:13" x14ac:dyDescent="0.3">
      <c r="K284" s="204">
        <v>252</v>
      </c>
      <c r="L284" s="205">
        <v>817670.43023627391</v>
      </c>
      <c r="M284" s="206">
        <v>0.7806662261592312</v>
      </c>
    </row>
    <row r="285" spans="11:13" x14ac:dyDescent="0.3">
      <c r="K285" s="204">
        <v>253</v>
      </c>
      <c r="L285" s="205">
        <v>233301.02581782499</v>
      </c>
      <c r="M285" s="206">
        <v>0.53389746898338397</v>
      </c>
    </row>
    <row r="286" spans="11:13" x14ac:dyDescent="0.3">
      <c r="K286" s="204">
        <v>254</v>
      </c>
      <c r="L286" s="205">
        <v>975028.33556476375</v>
      </c>
      <c r="M286" s="206">
        <v>0.80924770836818904</v>
      </c>
    </row>
    <row r="287" spans="11:13" x14ac:dyDescent="0.3">
      <c r="K287" s="204">
        <v>255</v>
      </c>
      <c r="L287" s="205">
        <v>812485.67162586283</v>
      </c>
      <c r="M287" s="206">
        <v>0.75268461701754719</v>
      </c>
    </row>
    <row r="288" spans="11:13" x14ac:dyDescent="0.3">
      <c r="K288" s="204">
        <v>256</v>
      </c>
      <c r="L288" s="205">
        <v>253578.87157616066</v>
      </c>
      <c r="M288" s="206">
        <v>0.55498131761032732</v>
      </c>
    </row>
    <row r="289" spans="11:13" x14ac:dyDescent="0.3">
      <c r="K289" s="204">
        <v>257</v>
      </c>
      <c r="L289" s="205">
        <v>-40724.591025306843</v>
      </c>
      <c r="M289" s="206">
        <v>0.44316242976351683</v>
      </c>
    </row>
    <row r="290" spans="11:13" x14ac:dyDescent="0.3">
      <c r="K290" s="204">
        <v>258</v>
      </c>
      <c r="L290" s="205">
        <v>518663.9370389916</v>
      </c>
      <c r="M290" s="206">
        <v>0.63226269168618154</v>
      </c>
    </row>
    <row r="291" spans="11:13" x14ac:dyDescent="0.3">
      <c r="K291" s="204">
        <v>259</v>
      </c>
      <c r="L291" s="205">
        <v>879702.78039927967</v>
      </c>
      <c r="M291" s="206">
        <v>0.77303539912148844</v>
      </c>
    </row>
    <row r="292" spans="11:13" x14ac:dyDescent="0.3">
      <c r="K292" s="204">
        <v>260</v>
      </c>
      <c r="L292" s="205">
        <v>-98862.041083313059</v>
      </c>
      <c r="M292" s="206">
        <v>0.42081473276646153</v>
      </c>
    </row>
    <row r="293" spans="11:13" x14ac:dyDescent="0.3">
      <c r="K293" s="204">
        <v>261</v>
      </c>
      <c r="L293" s="205">
        <v>291856.34644659096</v>
      </c>
      <c r="M293" s="206">
        <v>0.56422620309841065</v>
      </c>
    </row>
    <row r="294" spans="11:13" x14ac:dyDescent="0.3">
      <c r="K294" s="204">
        <v>262</v>
      </c>
      <c r="L294" s="205">
        <v>399787.96130380034</v>
      </c>
      <c r="M294" s="206">
        <v>0.60665899597980255</v>
      </c>
    </row>
    <row r="295" spans="11:13" x14ac:dyDescent="0.3">
      <c r="K295" s="204">
        <v>263</v>
      </c>
      <c r="L295" s="205">
        <v>726506.2063353993</v>
      </c>
      <c r="M295" s="206">
        <v>0.71406108030869153</v>
      </c>
    </row>
    <row r="296" spans="11:13" x14ac:dyDescent="0.3">
      <c r="K296" s="204">
        <v>264</v>
      </c>
      <c r="L296" s="205">
        <v>659782.78297780734</v>
      </c>
      <c r="M296" s="206">
        <v>0.69367137146475333</v>
      </c>
    </row>
    <row r="297" spans="11:13" x14ac:dyDescent="0.3">
      <c r="K297" s="204">
        <v>265</v>
      </c>
      <c r="L297" s="205">
        <v>469187.4865372777</v>
      </c>
      <c r="M297" s="206">
        <v>0.62255385144316078</v>
      </c>
    </row>
    <row r="298" spans="11:13" x14ac:dyDescent="0.3">
      <c r="K298" s="204">
        <v>266</v>
      </c>
      <c r="L298" s="205">
        <v>618335.08764963737</v>
      </c>
      <c r="M298" s="206">
        <v>0.68795714569496469</v>
      </c>
    </row>
    <row r="299" spans="11:13" x14ac:dyDescent="0.3">
      <c r="K299" s="204">
        <v>267</v>
      </c>
      <c r="L299" s="205">
        <v>211796.29076434672</v>
      </c>
      <c r="M299" s="206">
        <v>0.53937266866092615</v>
      </c>
    </row>
    <row r="300" spans="11:13" x14ac:dyDescent="0.3">
      <c r="K300" s="204">
        <v>268</v>
      </c>
      <c r="L300" s="205">
        <v>210912.27529976936</v>
      </c>
      <c r="M300" s="206">
        <v>0.52994065289235248</v>
      </c>
    </row>
    <row r="301" spans="11:13" x14ac:dyDescent="0.3">
      <c r="K301" s="204">
        <v>269</v>
      </c>
      <c r="L301" s="205">
        <v>746386.57635763288</v>
      </c>
      <c r="M301" s="206">
        <v>0.75358308271614916</v>
      </c>
    </row>
    <row r="302" spans="11:13" x14ac:dyDescent="0.3">
      <c r="K302" s="204">
        <v>270</v>
      </c>
      <c r="L302" s="205">
        <v>616322.00986508187</v>
      </c>
      <c r="M302" s="206">
        <v>0.70045560762054326</v>
      </c>
    </row>
    <row r="303" spans="11:13" x14ac:dyDescent="0.3">
      <c r="K303" s="204">
        <v>271</v>
      </c>
      <c r="L303" s="205">
        <v>447503.45031954488</v>
      </c>
      <c r="M303" s="206">
        <v>0.61383797308294685</v>
      </c>
    </row>
    <row r="304" spans="11:13" x14ac:dyDescent="0.3">
      <c r="K304" s="204">
        <v>272</v>
      </c>
      <c r="L304" s="205">
        <v>506325.64640096156</v>
      </c>
      <c r="M304" s="206">
        <v>0.63511685535380424</v>
      </c>
    </row>
    <row r="305" spans="11:13" x14ac:dyDescent="0.3">
      <c r="K305" s="204">
        <v>273</v>
      </c>
      <c r="L305" s="205">
        <v>638312.7761302595</v>
      </c>
      <c r="M305" s="206">
        <v>0.69606235164641128</v>
      </c>
    </row>
    <row r="306" spans="11:13" x14ac:dyDescent="0.3">
      <c r="K306" s="204">
        <v>274</v>
      </c>
      <c r="L306" s="205">
        <v>642430.14413992316</v>
      </c>
      <c r="M306" s="206">
        <v>0.69269059978642344</v>
      </c>
    </row>
    <row r="307" spans="11:13" x14ac:dyDescent="0.3">
      <c r="K307" s="204">
        <v>275</v>
      </c>
      <c r="L307" s="205">
        <v>878560.24741770653</v>
      </c>
      <c r="M307" s="206">
        <v>0.77649275026933995</v>
      </c>
    </row>
    <row r="308" spans="11:13" x14ac:dyDescent="0.3">
      <c r="K308" s="204">
        <v>276</v>
      </c>
      <c r="L308" s="205">
        <v>670135.31978485873</v>
      </c>
      <c r="M308" s="206">
        <v>0.70964619204527635</v>
      </c>
    </row>
    <row r="309" spans="11:13" x14ac:dyDescent="0.3">
      <c r="K309" s="204">
        <v>277</v>
      </c>
      <c r="L309" s="205">
        <v>704459.96638057008</v>
      </c>
      <c r="M309" s="206">
        <v>0.72127981969581012</v>
      </c>
    </row>
    <row r="310" spans="11:13" x14ac:dyDescent="0.3">
      <c r="K310" s="204">
        <v>278</v>
      </c>
      <c r="L310" s="205">
        <v>215323.52725633467</v>
      </c>
      <c r="M310" s="206">
        <v>0.53136658574851658</v>
      </c>
    </row>
    <row r="311" spans="11:13" x14ac:dyDescent="0.3">
      <c r="K311" s="204">
        <v>279</v>
      </c>
      <c r="L311" s="205">
        <v>819608.60338389035</v>
      </c>
      <c r="M311" s="206">
        <v>0.76022051269498347</v>
      </c>
    </row>
    <row r="312" spans="11:13" x14ac:dyDescent="0.3">
      <c r="K312" s="204">
        <v>280</v>
      </c>
      <c r="L312" s="205">
        <v>608591.95598362014</v>
      </c>
      <c r="M312" s="206">
        <v>0.69662354188887265</v>
      </c>
    </row>
    <row r="313" spans="11:13" x14ac:dyDescent="0.3">
      <c r="K313" s="204">
        <v>281</v>
      </c>
      <c r="L313" s="205">
        <v>1053367.3569419985</v>
      </c>
      <c r="M313" s="206">
        <v>0.86457045058252868</v>
      </c>
    </row>
    <row r="314" spans="11:13" x14ac:dyDescent="0.3">
      <c r="K314" s="204">
        <v>282</v>
      </c>
      <c r="L314" s="205">
        <v>736311.6008881242</v>
      </c>
      <c r="M314" s="206">
        <v>0.75059379279088789</v>
      </c>
    </row>
    <row r="315" spans="11:13" x14ac:dyDescent="0.3">
      <c r="K315" s="204">
        <v>283</v>
      </c>
      <c r="L315" s="205">
        <v>442047.77666812344</v>
      </c>
      <c r="M315" s="206">
        <v>0.62005779732334654</v>
      </c>
    </row>
    <row r="316" spans="11:13" x14ac:dyDescent="0.3">
      <c r="K316" s="204">
        <v>284</v>
      </c>
      <c r="L316" s="205">
        <v>447331.9166729725</v>
      </c>
      <c r="M316" s="206">
        <v>0.62514154238640751</v>
      </c>
    </row>
    <row r="317" spans="11:13" x14ac:dyDescent="0.3">
      <c r="K317" s="204">
        <v>285</v>
      </c>
      <c r="L317" s="205">
        <v>964293.08395771869</v>
      </c>
      <c r="M317" s="206">
        <v>0.81061494171303505</v>
      </c>
    </row>
    <row r="318" spans="11:13" x14ac:dyDescent="0.3">
      <c r="K318" s="204">
        <v>286</v>
      </c>
      <c r="L318" s="205">
        <v>490054.70035012485</v>
      </c>
      <c r="M318" s="206">
        <v>0.64343260038919481</v>
      </c>
    </row>
    <row r="319" spans="11:13" x14ac:dyDescent="0.3">
      <c r="K319" s="204">
        <v>287</v>
      </c>
      <c r="L319" s="205">
        <v>649909.87373707071</v>
      </c>
      <c r="M319" s="206">
        <v>0.67057217295817861</v>
      </c>
    </row>
    <row r="320" spans="11:13" x14ac:dyDescent="0.3">
      <c r="K320" s="204">
        <v>288</v>
      </c>
      <c r="L320" s="205">
        <v>809328.58230742207</v>
      </c>
      <c r="M320" s="206">
        <v>0.77252517585803604</v>
      </c>
    </row>
    <row r="321" spans="11:13" x14ac:dyDescent="0.3">
      <c r="K321" s="204">
        <v>289</v>
      </c>
      <c r="L321" s="205">
        <v>312395.0581159112</v>
      </c>
      <c r="M321" s="206">
        <v>0.57306079414944411</v>
      </c>
    </row>
    <row r="322" spans="11:13" x14ac:dyDescent="0.3">
      <c r="K322" s="204">
        <v>290</v>
      </c>
      <c r="L322" s="205">
        <v>918980.67035309179</v>
      </c>
      <c r="M322" s="206">
        <v>0.80962454273339124</v>
      </c>
    </row>
    <row r="323" spans="11:13" x14ac:dyDescent="0.3">
      <c r="K323" s="204">
        <v>291</v>
      </c>
      <c r="L323" s="205">
        <v>838408.9857067368</v>
      </c>
      <c r="M323" s="206">
        <v>0.748228810044542</v>
      </c>
    </row>
    <row r="324" spans="11:13" x14ac:dyDescent="0.3">
      <c r="K324" s="204">
        <v>292</v>
      </c>
      <c r="L324" s="205">
        <v>425935.27460532682</v>
      </c>
      <c r="M324" s="206">
        <v>0.61411097746327603</v>
      </c>
    </row>
    <row r="325" spans="11:13" x14ac:dyDescent="0.3">
      <c r="K325" s="204">
        <v>293</v>
      </c>
      <c r="L325" s="205">
        <v>360533.75333394017</v>
      </c>
      <c r="M325" s="206">
        <v>0.59800604381349087</v>
      </c>
    </row>
    <row r="326" spans="11:13" x14ac:dyDescent="0.3">
      <c r="K326" s="204">
        <v>294</v>
      </c>
      <c r="L326" s="205">
        <v>416302.46284475783</v>
      </c>
      <c r="M326" s="206">
        <v>0.6198707142583455</v>
      </c>
    </row>
    <row r="327" spans="11:13" x14ac:dyDescent="0.3">
      <c r="K327" s="204">
        <v>295</v>
      </c>
      <c r="L327" s="205">
        <v>406548.87065639766</v>
      </c>
      <c r="M327" s="206">
        <v>0.5929952603996218</v>
      </c>
    </row>
    <row r="328" spans="11:13" x14ac:dyDescent="0.3">
      <c r="K328" s="204">
        <v>296</v>
      </c>
      <c r="L328" s="205">
        <v>315716.146166794</v>
      </c>
      <c r="M328" s="206">
        <v>0.56141778110318663</v>
      </c>
    </row>
    <row r="329" spans="11:13" x14ac:dyDescent="0.3">
      <c r="K329" s="204">
        <v>297</v>
      </c>
      <c r="L329" s="205">
        <v>648403.34822818171</v>
      </c>
      <c r="M329" s="206">
        <v>0.69536958311383268</v>
      </c>
    </row>
    <row r="330" spans="11:13" x14ac:dyDescent="0.3">
      <c r="K330" s="204">
        <v>298</v>
      </c>
      <c r="L330" s="205">
        <v>626445.77905715583</v>
      </c>
      <c r="M330" s="206">
        <v>0.68227749336829624</v>
      </c>
    </row>
    <row r="331" spans="11:13" x14ac:dyDescent="0.3">
      <c r="K331" s="204">
        <v>299</v>
      </c>
      <c r="L331" s="205">
        <v>-103055.94259926397</v>
      </c>
      <c r="M331" s="206">
        <v>0.42030304329872359</v>
      </c>
    </row>
    <row r="332" spans="11:13" x14ac:dyDescent="0.3">
      <c r="K332" s="204">
        <v>300</v>
      </c>
      <c r="L332" s="205">
        <v>421797.64130783314</v>
      </c>
      <c r="M332" s="206">
        <v>0.61181336273398901</v>
      </c>
    </row>
    <row r="333" spans="11:13" x14ac:dyDescent="0.3">
      <c r="K333" s="204">
        <v>301</v>
      </c>
      <c r="L333" s="205">
        <v>521146.12229600735</v>
      </c>
      <c r="M333" s="206">
        <v>0.64801071910375985</v>
      </c>
    </row>
    <row r="334" spans="11:13" x14ac:dyDescent="0.3">
      <c r="K334" s="204">
        <v>302</v>
      </c>
      <c r="L334" s="205">
        <v>866412.26865464216</v>
      </c>
      <c r="M334" s="206">
        <v>0.78250919469888247</v>
      </c>
    </row>
    <row r="335" spans="11:13" x14ac:dyDescent="0.3">
      <c r="K335" s="204">
        <v>303</v>
      </c>
      <c r="L335" s="205">
        <v>442389.73604404507</v>
      </c>
      <c r="M335" s="206">
        <v>0.62107927748881564</v>
      </c>
    </row>
    <row r="336" spans="11:13" x14ac:dyDescent="0.3">
      <c r="K336" s="204">
        <v>304</v>
      </c>
      <c r="L336" s="205">
        <v>641710.69962223247</v>
      </c>
      <c r="M336" s="206">
        <v>0.71408518727088932</v>
      </c>
    </row>
    <row r="337" spans="11:13" x14ac:dyDescent="0.3">
      <c r="K337" s="204">
        <v>305</v>
      </c>
      <c r="L337" s="205">
        <v>462112.90061033424</v>
      </c>
      <c r="M337" s="206">
        <v>0.62460508032036843</v>
      </c>
    </row>
    <row r="338" spans="11:13" x14ac:dyDescent="0.3">
      <c r="K338" s="204">
        <v>306</v>
      </c>
      <c r="L338" s="205">
        <v>682728.16672038659</v>
      </c>
      <c r="M338" s="206">
        <v>0.70039653799567092</v>
      </c>
    </row>
    <row r="339" spans="11:13" x14ac:dyDescent="0.3">
      <c r="K339" s="204">
        <v>307</v>
      </c>
      <c r="L339" s="205">
        <v>1020638.8937928742</v>
      </c>
      <c r="M339" s="206">
        <v>0.82509518332286613</v>
      </c>
    </row>
    <row r="340" spans="11:13" x14ac:dyDescent="0.3">
      <c r="K340" s="204">
        <v>308</v>
      </c>
      <c r="L340" s="205">
        <v>322120.34170244727</v>
      </c>
      <c r="M340" s="206">
        <v>0.56261241556939567</v>
      </c>
    </row>
    <row r="341" spans="11:13" x14ac:dyDescent="0.3">
      <c r="K341" s="204">
        <v>309</v>
      </c>
      <c r="L341" s="205">
        <v>525191.46584016783</v>
      </c>
      <c r="M341" s="206">
        <v>0.64016262856111328</v>
      </c>
    </row>
    <row r="342" spans="11:13" x14ac:dyDescent="0.3">
      <c r="K342" s="204">
        <v>310</v>
      </c>
      <c r="L342" s="205">
        <v>470303.22138328385</v>
      </c>
      <c r="M342" s="206">
        <v>0.64151778700844275</v>
      </c>
    </row>
    <row r="343" spans="11:13" x14ac:dyDescent="0.3">
      <c r="K343" s="204">
        <v>311</v>
      </c>
      <c r="L343" s="205">
        <v>913844.55308581004</v>
      </c>
      <c r="M343" s="206">
        <v>0.79366536206630078</v>
      </c>
    </row>
    <row r="344" spans="11:13" x14ac:dyDescent="0.3">
      <c r="K344" s="204">
        <v>312</v>
      </c>
      <c r="L344" s="205">
        <v>965803.70843979111</v>
      </c>
      <c r="M344" s="206">
        <v>0.83040662420282207</v>
      </c>
    </row>
    <row r="345" spans="11:13" x14ac:dyDescent="0.3">
      <c r="K345" s="204">
        <v>313</v>
      </c>
      <c r="L345" s="205">
        <v>891436.8242753353</v>
      </c>
      <c r="M345" s="206">
        <v>0.80183566555815533</v>
      </c>
    </row>
    <row r="346" spans="11:13" x14ac:dyDescent="0.3">
      <c r="K346" s="204">
        <v>314</v>
      </c>
      <c r="L346" s="205">
        <v>684494.35527885938</v>
      </c>
      <c r="M346" s="206">
        <v>0.71693061507860012</v>
      </c>
    </row>
    <row r="347" spans="11:13" x14ac:dyDescent="0.3">
      <c r="K347" s="204">
        <v>315</v>
      </c>
      <c r="L347" s="205">
        <v>576003.79995194729</v>
      </c>
      <c r="M347" s="206">
        <v>0.67890379353152697</v>
      </c>
    </row>
    <row r="348" spans="11:13" x14ac:dyDescent="0.3">
      <c r="K348" s="204">
        <v>316</v>
      </c>
      <c r="L348" s="205">
        <v>427010.06576358946</v>
      </c>
      <c r="M348" s="206">
        <v>0.61762872800834967</v>
      </c>
    </row>
    <row r="349" spans="11:13" x14ac:dyDescent="0.3">
      <c r="K349" s="204">
        <v>317</v>
      </c>
      <c r="L349" s="205">
        <v>319276.37693638355</v>
      </c>
      <c r="M349" s="206">
        <v>0.57705379339067187</v>
      </c>
    </row>
    <row r="350" spans="11:13" x14ac:dyDescent="0.3">
      <c r="K350" s="204">
        <v>318</v>
      </c>
      <c r="L350" s="205">
        <v>82840.995060196612</v>
      </c>
      <c r="M350" s="206">
        <v>0.48568849149441262</v>
      </c>
    </row>
    <row r="351" spans="11:13" x14ac:dyDescent="0.3">
      <c r="K351" s="204">
        <v>319</v>
      </c>
      <c r="L351" s="205">
        <v>666957.05532826763</v>
      </c>
      <c r="M351" s="206">
        <v>0.69827118389217246</v>
      </c>
    </row>
    <row r="352" spans="11:13" x14ac:dyDescent="0.3">
      <c r="K352" s="204">
        <v>320</v>
      </c>
      <c r="L352" s="205">
        <v>651262.91279822262</v>
      </c>
      <c r="M352" s="206">
        <v>0.71244675352721165</v>
      </c>
    </row>
    <row r="353" spans="11:13" x14ac:dyDescent="0.3">
      <c r="K353" s="204">
        <v>321</v>
      </c>
      <c r="L353" s="205">
        <v>357541.24794969941</v>
      </c>
      <c r="M353" s="206">
        <v>0.59416934810935329</v>
      </c>
    </row>
    <row r="354" spans="11:13" x14ac:dyDescent="0.3">
      <c r="K354" s="204">
        <v>322</v>
      </c>
      <c r="L354" s="205">
        <v>1115396.687501091</v>
      </c>
      <c r="M354" s="206">
        <v>0.87974098219563168</v>
      </c>
    </row>
    <row r="355" spans="11:13" x14ac:dyDescent="0.3">
      <c r="K355" s="204">
        <v>323</v>
      </c>
      <c r="L355" s="205">
        <v>268928.49622575659</v>
      </c>
      <c r="M355" s="206">
        <v>0.55554783245467698</v>
      </c>
    </row>
    <row r="356" spans="11:13" x14ac:dyDescent="0.3">
      <c r="K356" s="204">
        <v>324</v>
      </c>
      <c r="L356" s="205">
        <v>823192.43427818595</v>
      </c>
      <c r="M356" s="206">
        <v>0.7571088339531229</v>
      </c>
    </row>
    <row r="357" spans="11:13" x14ac:dyDescent="0.3">
      <c r="K357" s="204">
        <v>325</v>
      </c>
      <c r="L357" s="205">
        <v>618474.69551599212</v>
      </c>
      <c r="M357" s="206">
        <v>0.68593247167352178</v>
      </c>
    </row>
    <row r="358" spans="11:13" x14ac:dyDescent="0.3">
      <c r="K358" s="204">
        <v>326</v>
      </c>
      <c r="L358" s="205">
        <v>525756.39374438673</v>
      </c>
      <c r="M358" s="206">
        <v>0.65612776632284286</v>
      </c>
    </row>
    <row r="359" spans="11:13" x14ac:dyDescent="0.3">
      <c r="K359" s="204">
        <v>327</v>
      </c>
      <c r="L359" s="205">
        <v>443673.18140030792</v>
      </c>
      <c r="M359" s="206">
        <v>0.61660136117640896</v>
      </c>
    </row>
    <row r="360" spans="11:13" x14ac:dyDescent="0.3">
      <c r="K360" s="204">
        <v>328</v>
      </c>
      <c r="L360" s="205">
        <v>660726.01310406113</v>
      </c>
      <c r="M360" s="206">
        <v>0.6984252220426328</v>
      </c>
    </row>
    <row r="361" spans="11:13" x14ac:dyDescent="0.3">
      <c r="K361" s="204">
        <v>329</v>
      </c>
      <c r="L361" s="205">
        <v>595763.34401603322</v>
      </c>
      <c r="M361" s="206">
        <v>0.68286944465984489</v>
      </c>
    </row>
    <row r="362" spans="11:13" x14ac:dyDescent="0.3">
      <c r="K362" s="204">
        <v>330</v>
      </c>
      <c r="L362" s="205">
        <v>631419.9057355593</v>
      </c>
      <c r="M362" s="206">
        <v>0.69278945383669965</v>
      </c>
    </row>
    <row r="363" spans="11:13" x14ac:dyDescent="0.3">
      <c r="K363" s="204">
        <v>331</v>
      </c>
      <c r="L363" s="205">
        <v>806074.8204556019</v>
      </c>
      <c r="M363" s="206">
        <v>0.72770267204400674</v>
      </c>
    </row>
    <row r="364" spans="11:13" x14ac:dyDescent="0.3">
      <c r="K364" s="204">
        <v>332</v>
      </c>
      <c r="L364" s="205">
        <v>531001.10184618738</v>
      </c>
      <c r="M364" s="206">
        <v>0.64781548909597686</v>
      </c>
    </row>
    <row r="365" spans="11:13" x14ac:dyDescent="0.3">
      <c r="K365" s="204">
        <v>333</v>
      </c>
      <c r="L365" s="205">
        <v>260607.66973494878</v>
      </c>
      <c r="M365" s="206">
        <v>0.55161911238781092</v>
      </c>
    </row>
    <row r="366" spans="11:13" x14ac:dyDescent="0.3">
      <c r="K366" s="204">
        <v>334</v>
      </c>
      <c r="L366" s="205">
        <v>833594.59819353605</v>
      </c>
      <c r="M366" s="206">
        <v>0.77100296676109692</v>
      </c>
    </row>
    <row r="367" spans="11:13" x14ac:dyDescent="0.3">
      <c r="K367" s="204">
        <v>335</v>
      </c>
      <c r="L367" s="205">
        <v>926118.13697443856</v>
      </c>
      <c r="M367" s="206">
        <v>0.80197133487192529</v>
      </c>
    </row>
    <row r="368" spans="11:13" x14ac:dyDescent="0.3">
      <c r="K368" s="204">
        <v>336</v>
      </c>
      <c r="L368" s="205">
        <v>-89516.03329807939</v>
      </c>
      <c r="M368" s="206">
        <v>0.41680527845723403</v>
      </c>
    </row>
    <row r="369" spans="11:13" x14ac:dyDescent="0.3">
      <c r="K369" s="204">
        <v>337</v>
      </c>
      <c r="L369" s="205">
        <v>113925.35165549908</v>
      </c>
      <c r="M369" s="206">
        <v>0.5000387046169632</v>
      </c>
    </row>
    <row r="370" spans="11:13" x14ac:dyDescent="0.3">
      <c r="K370" s="204">
        <v>338</v>
      </c>
      <c r="L370" s="205">
        <v>806954.65626371093</v>
      </c>
      <c r="M370" s="206">
        <v>0.76487215727490399</v>
      </c>
    </row>
    <row r="371" spans="11:13" x14ac:dyDescent="0.3">
      <c r="K371" s="204">
        <v>339</v>
      </c>
      <c r="L371" s="205">
        <v>646002.90078872209</v>
      </c>
      <c r="M371" s="206">
        <v>0.69224070770435109</v>
      </c>
    </row>
    <row r="372" spans="11:13" x14ac:dyDescent="0.3">
      <c r="K372" s="204">
        <v>340</v>
      </c>
      <c r="L372" s="205">
        <v>418295.54576991964</v>
      </c>
      <c r="M372" s="206">
        <v>0.61860720495213828</v>
      </c>
    </row>
    <row r="373" spans="11:13" x14ac:dyDescent="0.3">
      <c r="K373" s="204">
        <v>341</v>
      </c>
      <c r="L373" s="205">
        <v>488353.05508531583</v>
      </c>
      <c r="M373" s="206">
        <v>0.64414825004641529</v>
      </c>
    </row>
    <row r="374" spans="11:13" x14ac:dyDescent="0.3">
      <c r="K374" s="204">
        <v>342</v>
      </c>
      <c r="L374" s="205">
        <v>647953.3513195687</v>
      </c>
      <c r="M374" s="206">
        <v>0.69624479347288859</v>
      </c>
    </row>
    <row r="375" spans="11:13" x14ac:dyDescent="0.3">
      <c r="K375" s="204">
        <v>343</v>
      </c>
      <c r="L375" s="205">
        <v>540418.18507992476</v>
      </c>
      <c r="M375" s="206">
        <v>0.65111861075000799</v>
      </c>
    </row>
    <row r="376" spans="11:13" x14ac:dyDescent="0.3">
      <c r="K376" s="204">
        <v>344</v>
      </c>
      <c r="L376" s="205">
        <v>361470.0409135255</v>
      </c>
      <c r="M376" s="206">
        <v>0.58522022792317463</v>
      </c>
    </row>
    <row r="377" spans="11:13" x14ac:dyDescent="0.3">
      <c r="K377" s="204">
        <v>345</v>
      </c>
      <c r="L377" s="205">
        <v>724069.94740546169</v>
      </c>
      <c r="M377" s="206">
        <v>0.74661100690578341</v>
      </c>
    </row>
    <row r="378" spans="11:13" x14ac:dyDescent="0.3">
      <c r="K378" s="204">
        <v>346</v>
      </c>
      <c r="L378" s="205">
        <v>877665.83365207817</v>
      </c>
      <c r="M378" s="206">
        <v>0.76908003276277559</v>
      </c>
    </row>
    <row r="379" spans="11:13" x14ac:dyDescent="0.3">
      <c r="K379" s="204">
        <v>347</v>
      </c>
      <c r="L379" s="205">
        <v>397356.12759141903</v>
      </c>
      <c r="M379" s="206">
        <v>0.60868596363105687</v>
      </c>
    </row>
    <row r="380" spans="11:13" x14ac:dyDescent="0.3">
      <c r="K380" s="204">
        <v>348</v>
      </c>
      <c r="L380" s="205">
        <v>487751.90554560116</v>
      </c>
      <c r="M380" s="206">
        <v>0.64798999360173815</v>
      </c>
    </row>
    <row r="381" spans="11:13" x14ac:dyDescent="0.3">
      <c r="K381" s="204">
        <v>349</v>
      </c>
      <c r="L381" s="205">
        <v>33645.032147085294</v>
      </c>
      <c r="M381" s="206">
        <v>0.47035371264499504</v>
      </c>
    </row>
    <row r="382" spans="11:13" x14ac:dyDescent="0.3">
      <c r="K382" s="204">
        <v>350</v>
      </c>
      <c r="L382" s="205">
        <v>656079.74399656057</v>
      </c>
      <c r="M382" s="206">
        <v>0.70875244750601607</v>
      </c>
    </row>
    <row r="383" spans="11:13" x14ac:dyDescent="0.3">
      <c r="K383" s="204">
        <v>351</v>
      </c>
      <c r="L383" s="205">
        <v>979423.4875022131</v>
      </c>
      <c r="M383" s="206">
        <v>0.84794363500934433</v>
      </c>
    </row>
    <row r="384" spans="11:13" x14ac:dyDescent="0.3">
      <c r="K384" s="204">
        <v>352</v>
      </c>
      <c r="L384" s="205">
        <v>224953.76159405895</v>
      </c>
      <c r="M384" s="206">
        <v>0.53795732870895185</v>
      </c>
    </row>
    <row r="385" spans="11:13" x14ac:dyDescent="0.3">
      <c r="K385" s="204">
        <v>353</v>
      </c>
      <c r="L385" s="205">
        <v>871425.39022548357</v>
      </c>
      <c r="M385" s="206">
        <v>0.80817792671222066</v>
      </c>
    </row>
    <row r="386" spans="11:13" x14ac:dyDescent="0.3">
      <c r="K386" s="204">
        <v>354</v>
      </c>
      <c r="L386" s="205">
        <v>662896.28899504943</v>
      </c>
      <c r="M386" s="206">
        <v>0.70533216285745182</v>
      </c>
    </row>
    <row r="387" spans="11:13" x14ac:dyDescent="0.3">
      <c r="K387" s="204">
        <v>355</v>
      </c>
      <c r="L387" s="205">
        <v>583467.25242356583</v>
      </c>
      <c r="M387" s="206">
        <v>0.6847788332842546</v>
      </c>
    </row>
    <row r="388" spans="11:13" x14ac:dyDescent="0.3">
      <c r="K388" s="204">
        <v>356</v>
      </c>
      <c r="L388" s="205">
        <v>404267.64909796882</v>
      </c>
      <c r="M388" s="206">
        <v>0.61737866045432122</v>
      </c>
    </row>
    <row r="389" spans="11:13" x14ac:dyDescent="0.3">
      <c r="K389" s="204">
        <v>357</v>
      </c>
      <c r="L389" s="205">
        <v>54616.12631301349</v>
      </c>
      <c r="M389" s="206">
        <v>0.47938488270539414</v>
      </c>
    </row>
    <row r="390" spans="11:13" x14ac:dyDescent="0.3">
      <c r="K390" s="204">
        <v>358</v>
      </c>
      <c r="L390" s="205">
        <v>608935.28822295787</v>
      </c>
      <c r="M390" s="206">
        <v>0.6745500087705727</v>
      </c>
    </row>
    <row r="391" spans="11:13" x14ac:dyDescent="0.3">
      <c r="K391" s="204">
        <v>359</v>
      </c>
      <c r="L391" s="205">
        <v>239808.49732685369</v>
      </c>
      <c r="M391" s="206">
        <v>0.54382776300746483</v>
      </c>
    </row>
    <row r="392" spans="11:13" x14ac:dyDescent="0.3">
      <c r="K392" s="204">
        <v>360</v>
      </c>
      <c r="L392" s="205">
        <v>289864.51720717037</v>
      </c>
      <c r="M392" s="206">
        <v>0.56797528087176419</v>
      </c>
    </row>
    <row r="393" spans="11:13" x14ac:dyDescent="0.3">
      <c r="K393" s="204">
        <v>361</v>
      </c>
      <c r="L393" s="205">
        <v>510023.32158000581</v>
      </c>
      <c r="M393" s="206">
        <v>0.64493464150751323</v>
      </c>
    </row>
    <row r="394" spans="11:13" x14ac:dyDescent="0.3">
      <c r="K394" s="204">
        <v>362</v>
      </c>
      <c r="L394" s="205">
        <v>651700.01053800294</v>
      </c>
      <c r="M394" s="206">
        <v>0.70382246163832729</v>
      </c>
    </row>
    <row r="395" spans="11:13" x14ac:dyDescent="0.3">
      <c r="K395" s="204">
        <v>363</v>
      </c>
      <c r="L395" s="205">
        <v>181806.06577670341</v>
      </c>
      <c r="M395" s="206">
        <v>0.52878073050156682</v>
      </c>
    </row>
    <row r="396" spans="11:13" x14ac:dyDescent="0.3">
      <c r="K396" s="204">
        <v>364</v>
      </c>
      <c r="L396" s="205">
        <v>1227348.2210737839</v>
      </c>
      <c r="M396" s="206">
        <v>0.90221746823059301</v>
      </c>
    </row>
    <row r="397" spans="11:13" x14ac:dyDescent="0.3">
      <c r="K397" s="204">
        <v>365</v>
      </c>
      <c r="L397" s="205">
        <v>608901.09931962751</v>
      </c>
      <c r="M397" s="206">
        <v>0.67775185556740691</v>
      </c>
    </row>
    <row r="398" spans="11:13" x14ac:dyDescent="0.3">
      <c r="K398" s="204">
        <v>366</v>
      </c>
      <c r="L398" s="205">
        <v>583320.37596169161</v>
      </c>
      <c r="M398" s="206">
        <v>0.67118126263707056</v>
      </c>
    </row>
    <row r="399" spans="11:13" x14ac:dyDescent="0.3">
      <c r="K399" s="204">
        <v>367</v>
      </c>
      <c r="L399" s="205">
        <v>1224948.5778119224</v>
      </c>
      <c r="M399" s="206">
        <v>0.92350266884024346</v>
      </c>
    </row>
    <row r="400" spans="11:13" x14ac:dyDescent="0.3">
      <c r="K400" s="204">
        <v>368</v>
      </c>
      <c r="L400" s="205">
        <v>235677.95436937967</v>
      </c>
      <c r="M400" s="206">
        <v>0.54030972548349543</v>
      </c>
    </row>
    <row r="401" spans="11:13" x14ac:dyDescent="0.3">
      <c r="K401" s="204">
        <v>369</v>
      </c>
      <c r="L401" s="205">
        <v>312746.11261003511</v>
      </c>
      <c r="M401" s="206">
        <v>0.57437281782584493</v>
      </c>
    </row>
    <row r="402" spans="11:13" x14ac:dyDescent="0.3">
      <c r="K402" s="204">
        <v>370</v>
      </c>
      <c r="L402" s="205">
        <v>415069.48810216878</v>
      </c>
      <c r="M402" s="206">
        <v>0.61192210169026273</v>
      </c>
    </row>
    <row r="403" spans="11:13" x14ac:dyDescent="0.3">
      <c r="K403" s="204">
        <v>371</v>
      </c>
      <c r="L403" s="205">
        <v>215029.61575428955</v>
      </c>
      <c r="M403" s="206">
        <v>0.53456768107247576</v>
      </c>
    </row>
    <row r="404" spans="11:13" x14ac:dyDescent="0.3">
      <c r="K404" s="204">
        <v>372</v>
      </c>
      <c r="L404" s="205">
        <v>90427.202249302529</v>
      </c>
      <c r="M404" s="206">
        <v>0.49318931186042647</v>
      </c>
    </row>
    <row r="405" spans="11:13" x14ac:dyDescent="0.3">
      <c r="K405" s="204">
        <v>373</v>
      </c>
      <c r="L405" s="205">
        <v>26526.875758799724</v>
      </c>
      <c r="M405" s="206">
        <v>0.4675508300044946</v>
      </c>
    </row>
    <row r="406" spans="11:13" x14ac:dyDescent="0.3">
      <c r="K406" s="204">
        <v>374</v>
      </c>
      <c r="L406" s="205">
        <v>496941.33691864135</v>
      </c>
      <c r="M406" s="206">
        <v>0.6327065293557852</v>
      </c>
    </row>
    <row r="407" spans="11:13" x14ac:dyDescent="0.3">
      <c r="K407" s="204">
        <v>375</v>
      </c>
      <c r="L407" s="205">
        <v>336867.41233136179</v>
      </c>
      <c r="M407" s="206">
        <v>0.58564646979299373</v>
      </c>
    </row>
    <row r="408" spans="11:13" x14ac:dyDescent="0.3">
      <c r="K408" s="204">
        <v>376</v>
      </c>
      <c r="L408" s="205">
        <v>522283.45049396856</v>
      </c>
      <c r="M408" s="206">
        <v>0.65983558444272439</v>
      </c>
    </row>
    <row r="409" spans="11:13" x14ac:dyDescent="0.3">
      <c r="K409" s="204">
        <v>377</v>
      </c>
      <c r="L409" s="205">
        <v>599742.76400135271</v>
      </c>
      <c r="M409" s="206">
        <v>0.68409246508673038</v>
      </c>
    </row>
    <row r="410" spans="11:13" x14ac:dyDescent="0.3">
      <c r="K410" s="204">
        <v>378</v>
      </c>
      <c r="L410" s="205">
        <v>819146.49417171907</v>
      </c>
      <c r="M410" s="206">
        <v>0.77683135793452696</v>
      </c>
    </row>
    <row r="411" spans="11:13" x14ac:dyDescent="0.3">
      <c r="K411" s="204">
        <v>379</v>
      </c>
      <c r="L411" s="205">
        <v>981581.55665590242</v>
      </c>
      <c r="M411" s="206">
        <v>0.82698632993469245</v>
      </c>
    </row>
    <row r="412" spans="11:13" x14ac:dyDescent="0.3">
      <c r="K412" s="204">
        <v>380</v>
      </c>
      <c r="L412" s="205">
        <v>-221010.371279296</v>
      </c>
      <c r="M412" s="206">
        <v>0.37343370854318469</v>
      </c>
    </row>
    <row r="413" spans="11:13" x14ac:dyDescent="0.3">
      <c r="K413" s="204">
        <v>381</v>
      </c>
      <c r="L413" s="205">
        <v>775576.05467618443</v>
      </c>
      <c r="M413" s="206">
        <v>0.74297653129132368</v>
      </c>
    </row>
    <row r="414" spans="11:13" x14ac:dyDescent="0.3">
      <c r="K414" s="204">
        <v>382</v>
      </c>
      <c r="L414" s="205">
        <v>244258.23591114953</v>
      </c>
      <c r="M414" s="206">
        <v>0.54693939087805421</v>
      </c>
    </row>
    <row r="415" spans="11:13" x14ac:dyDescent="0.3">
      <c r="K415" s="204">
        <v>383</v>
      </c>
      <c r="L415" s="205">
        <v>385432.49222318083</v>
      </c>
      <c r="M415" s="206">
        <v>0.60378318980089363</v>
      </c>
    </row>
    <row r="416" spans="11:13" x14ac:dyDescent="0.3">
      <c r="K416" s="204">
        <v>384</v>
      </c>
      <c r="L416" s="205">
        <v>519730.93642939022</v>
      </c>
      <c r="M416" s="206">
        <v>0.65846911722484802</v>
      </c>
    </row>
    <row r="417" spans="11:13" x14ac:dyDescent="0.3">
      <c r="K417" s="204">
        <v>385</v>
      </c>
      <c r="L417" s="205">
        <v>748475.35342156282</v>
      </c>
      <c r="M417" s="206">
        <v>0.74960432831224377</v>
      </c>
    </row>
    <row r="418" spans="11:13" x14ac:dyDescent="0.3">
      <c r="K418" s="204">
        <v>386</v>
      </c>
      <c r="L418" s="205">
        <v>367683.29659591382</v>
      </c>
      <c r="M418" s="206">
        <v>0.60248104725568541</v>
      </c>
    </row>
    <row r="419" spans="11:13" x14ac:dyDescent="0.3">
      <c r="K419" s="204">
        <v>387</v>
      </c>
      <c r="L419" s="205">
        <v>169035.62951444648</v>
      </c>
      <c r="M419" s="206">
        <v>0.52049746474039238</v>
      </c>
    </row>
    <row r="420" spans="11:13" x14ac:dyDescent="0.3">
      <c r="K420" s="204">
        <v>388</v>
      </c>
      <c r="L420" s="205">
        <v>1121119.51826376</v>
      </c>
      <c r="M420" s="206">
        <v>0.88563635641973781</v>
      </c>
    </row>
    <row r="421" spans="11:13" x14ac:dyDescent="0.3">
      <c r="K421" s="204">
        <v>389</v>
      </c>
      <c r="L421" s="205">
        <v>1122073.3105903245</v>
      </c>
      <c r="M421" s="206">
        <v>0.87598740656056839</v>
      </c>
    </row>
    <row r="422" spans="11:13" x14ac:dyDescent="0.3">
      <c r="K422" s="204">
        <v>390</v>
      </c>
      <c r="L422" s="205">
        <v>635859.69766471302</v>
      </c>
      <c r="M422" s="206">
        <v>0.67745212100137353</v>
      </c>
    </row>
    <row r="423" spans="11:13" x14ac:dyDescent="0.3">
      <c r="K423" s="204">
        <v>391</v>
      </c>
      <c r="L423" s="205">
        <v>434027.74535024306</v>
      </c>
      <c r="M423" s="206">
        <v>0.61653387179954322</v>
      </c>
    </row>
    <row r="424" spans="11:13" x14ac:dyDescent="0.3">
      <c r="K424" s="204">
        <v>392</v>
      </c>
      <c r="L424" s="205">
        <v>190432.84389284672</v>
      </c>
      <c r="M424" s="206">
        <v>0.53159638223089845</v>
      </c>
    </row>
    <row r="425" spans="11:13" x14ac:dyDescent="0.3">
      <c r="K425" s="204">
        <v>393</v>
      </c>
      <c r="L425" s="205">
        <v>449427.21548121702</v>
      </c>
      <c r="M425" s="206">
        <v>0.6246939323148295</v>
      </c>
    </row>
    <row r="426" spans="11:13" x14ac:dyDescent="0.3">
      <c r="K426" s="204">
        <v>394</v>
      </c>
      <c r="L426" s="205">
        <v>-92451.621661894955</v>
      </c>
      <c r="M426" s="206">
        <v>0.42033187204885625</v>
      </c>
    </row>
    <row r="427" spans="11:13" x14ac:dyDescent="0.3">
      <c r="K427" s="204">
        <v>395</v>
      </c>
      <c r="L427" s="205">
        <v>753869.05764676258</v>
      </c>
      <c r="M427" s="206">
        <v>0.73455195115197269</v>
      </c>
    </row>
    <row r="428" spans="11:13" x14ac:dyDescent="0.3">
      <c r="K428" s="204">
        <v>396</v>
      </c>
      <c r="L428" s="205">
        <v>1205252.7562488127</v>
      </c>
      <c r="M428" s="206">
        <v>0.93646158257989098</v>
      </c>
    </row>
    <row r="429" spans="11:13" x14ac:dyDescent="0.3">
      <c r="K429" s="204">
        <v>397</v>
      </c>
      <c r="L429" s="205">
        <v>555882.85283779725</v>
      </c>
      <c r="M429" s="206">
        <v>0.66123087494984256</v>
      </c>
    </row>
    <row r="430" spans="11:13" x14ac:dyDescent="0.3">
      <c r="K430" s="204">
        <v>398</v>
      </c>
      <c r="L430" s="205">
        <v>4754.172903909348</v>
      </c>
      <c r="M430" s="206">
        <v>0.45915780925591765</v>
      </c>
    </row>
    <row r="431" spans="11:13" x14ac:dyDescent="0.3">
      <c r="K431" s="204">
        <v>399</v>
      </c>
      <c r="L431" s="205">
        <v>542285.4457854284</v>
      </c>
      <c r="M431" s="206">
        <v>0.66793474658598795</v>
      </c>
    </row>
    <row r="432" spans="11:13" x14ac:dyDescent="0.3">
      <c r="K432" s="204">
        <v>400</v>
      </c>
      <c r="L432" s="205">
        <v>-62108.738689012825</v>
      </c>
      <c r="M432" s="206">
        <v>0.43222649397274693</v>
      </c>
    </row>
    <row r="433" spans="11:13" x14ac:dyDescent="0.3">
      <c r="K433" s="204">
        <v>401</v>
      </c>
      <c r="L433" s="205">
        <v>872265.95476433728</v>
      </c>
      <c r="M433" s="206">
        <v>0.76707773164923454</v>
      </c>
    </row>
    <row r="434" spans="11:13" x14ac:dyDescent="0.3">
      <c r="K434" s="204">
        <v>402</v>
      </c>
      <c r="L434" s="205">
        <v>501850.83023852948</v>
      </c>
      <c r="M434" s="206">
        <v>0.63793917794487465</v>
      </c>
    </row>
    <row r="435" spans="11:13" x14ac:dyDescent="0.3">
      <c r="K435" s="204">
        <v>403</v>
      </c>
      <c r="L435" s="205">
        <v>569109.59363447595</v>
      </c>
      <c r="M435" s="206">
        <v>0.65385346686453905</v>
      </c>
    </row>
    <row r="436" spans="11:13" x14ac:dyDescent="0.3">
      <c r="K436" s="204">
        <v>404</v>
      </c>
      <c r="L436" s="205">
        <v>805450.59724819753</v>
      </c>
      <c r="M436" s="206">
        <v>0.77017878081563573</v>
      </c>
    </row>
    <row r="437" spans="11:13" x14ac:dyDescent="0.3">
      <c r="K437" s="204">
        <v>405</v>
      </c>
      <c r="L437" s="205">
        <v>760739.16316567734</v>
      </c>
      <c r="M437" s="206">
        <v>0.72818468421152294</v>
      </c>
    </row>
    <row r="438" spans="11:13" x14ac:dyDescent="0.3">
      <c r="K438" s="204">
        <v>406</v>
      </c>
      <c r="L438" s="205">
        <v>453912.64419733966</v>
      </c>
      <c r="M438" s="206">
        <v>0.61494921977165617</v>
      </c>
    </row>
    <row r="439" spans="11:13" x14ac:dyDescent="0.3">
      <c r="K439" s="204">
        <v>407</v>
      </c>
      <c r="L439" s="205">
        <v>767858.00953347888</v>
      </c>
      <c r="M439" s="206">
        <v>0.74259374953402224</v>
      </c>
    </row>
    <row r="440" spans="11:13" x14ac:dyDescent="0.3">
      <c r="K440" s="204">
        <v>408</v>
      </c>
      <c r="L440" s="205">
        <v>715442.16542377649</v>
      </c>
      <c r="M440" s="206">
        <v>0.71454874895321208</v>
      </c>
    </row>
    <row r="441" spans="11:13" x14ac:dyDescent="0.3">
      <c r="K441" s="204">
        <v>409</v>
      </c>
      <c r="L441" s="205">
        <v>488499.73039595829</v>
      </c>
      <c r="M441" s="206">
        <v>0.62945238415576954</v>
      </c>
    </row>
    <row r="442" spans="11:13" x14ac:dyDescent="0.3">
      <c r="K442" s="204">
        <v>410</v>
      </c>
      <c r="L442" s="205">
        <v>721912.62279591803</v>
      </c>
      <c r="M442" s="206">
        <v>0.7246651525192207</v>
      </c>
    </row>
    <row r="443" spans="11:13" x14ac:dyDescent="0.3">
      <c r="K443" s="204">
        <v>411</v>
      </c>
      <c r="L443" s="205">
        <v>559084.66445849463</v>
      </c>
      <c r="M443" s="206">
        <v>0.67475144867332992</v>
      </c>
    </row>
    <row r="444" spans="11:13" x14ac:dyDescent="0.3">
      <c r="K444" s="204">
        <v>412</v>
      </c>
      <c r="L444" s="205">
        <v>721662.76622845652</v>
      </c>
      <c r="M444" s="206">
        <v>0.73396686504874786</v>
      </c>
    </row>
    <row r="445" spans="11:13" x14ac:dyDescent="0.3">
      <c r="K445" s="204">
        <v>413</v>
      </c>
      <c r="L445" s="205">
        <v>926746.15700841416</v>
      </c>
      <c r="M445" s="206">
        <v>0.80548837789688421</v>
      </c>
    </row>
    <row r="446" spans="11:13" x14ac:dyDescent="0.3">
      <c r="K446" s="204">
        <v>414</v>
      </c>
      <c r="L446" s="205">
        <v>781250.75560982479</v>
      </c>
      <c r="M446" s="206">
        <v>0.72592559863628736</v>
      </c>
    </row>
    <row r="447" spans="11:13" x14ac:dyDescent="0.3">
      <c r="K447" s="204">
        <v>415</v>
      </c>
      <c r="L447" s="205">
        <v>459363.68712905608</v>
      </c>
      <c r="M447" s="206">
        <v>0.63273925161525169</v>
      </c>
    </row>
    <row r="448" spans="11:13" x14ac:dyDescent="0.3">
      <c r="K448" s="204">
        <v>416</v>
      </c>
      <c r="L448" s="205">
        <v>236034.78842930123</v>
      </c>
      <c r="M448" s="206">
        <v>0.54448661518354236</v>
      </c>
    </row>
    <row r="449" spans="11:13" x14ac:dyDescent="0.3">
      <c r="K449" s="204">
        <v>417</v>
      </c>
      <c r="L449" s="205">
        <v>1219301.9759601387</v>
      </c>
      <c r="M449" s="206">
        <v>0.93951591292627135</v>
      </c>
    </row>
    <row r="450" spans="11:13" x14ac:dyDescent="0.3">
      <c r="K450" s="204">
        <v>418</v>
      </c>
      <c r="L450" s="205">
        <v>94442.916957589332</v>
      </c>
      <c r="M450" s="206">
        <v>0.49374527662800527</v>
      </c>
    </row>
    <row r="451" spans="11:13" x14ac:dyDescent="0.3">
      <c r="K451" s="204">
        <v>419</v>
      </c>
      <c r="L451" s="205">
        <v>622509.23349762009</v>
      </c>
      <c r="M451" s="206">
        <v>0.68359859911271115</v>
      </c>
    </row>
    <row r="452" spans="11:13" x14ac:dyDescent="0.3">
      <c r="K452" s="204">
        <v>420</v>
      </c>
      <c r="L452" s="205">
        <v>659364.57245882368</v>
      </c>
      <c r="M452" s="206">
        <v>0.70634539392906981</v>
      </c>
    </row>
    <row r="453" spans="11:13" x14ac:dyDescent="0.3">
      <c r="K453" s="204">
        <v>421</v>
      </c>
      <c r="L453" s="205">
        <v>488116.21651763376</v>
      </c>
      <c r="M453" s="206">
        <v>0.63414330234797345</v>
      </c>
    </row>
    <row r="454" spans="11:13" x14ac:dyDescent="0.3">
      <c r="K454" s="204">
        <v>422</v>
      </c>
      <c r="L454" s="205">
        <v>793190.95389151899</v>
      </c>
      <c r="M454" s="206">
        <v>0.77571253242806759</v>
      </c>
    </row>
    <row r="455" spans="11:13" x14ac:dyDescent="0.3">
      <c r="K455" s="204">
        <v>423</v>
      </c>
      <c r="L455" s="205">
        <v>332077.40929913707</v>
      </c>
      <c r="M455" s="206">
        <v>0.57507015506440795</v>
      </c>
    </row>
    <row r="456" spans="11:13" x14ac:dyDescent="0.3">
      <c r="K456" s="204">
        <v>424</v>
      </c>
      <c r="L456" s="205">
        <v>642107.97527782572</v>
      </c>
      <c r="M456" s="206">
        <v>0.68624293546091253</v>
      </c>
    </row>
    <row r="457" spans="11:13" x14ac:dyDescent="0.3">
      <c r="K457" s="204">
        <v>425</v>
      </c>
      <c r="L457" s="205">
        <v>409839.00150122447</v>
      </c>
      <c r="M457" s="206">
        <v>0.60852771722535715</v>
      </c>
    </row>
    <row r="458" spans="11:13" x14ac:dyDescent="0.3">
      <c r="K458" s="204">
        <v>426</v>
      </c>
      <c r="L458" s="205">
        <v>988074.0876157782</v>
      </c>
      <c r="M458" s="206">
        <v>0.8082357818699677</v>
      </c>
    </row>
    <row r="459" spans="11:13" x14ac:dyDescent="0.3">
      <c r="K459" s="204">
        <v>427</v>
      </c>
      <c r="L459" s="205">
        <v>1274814.2130746515</v>
      </c>
      <c r="M459" s="206">
        <v>0.93405238074958619</v>
      </c>
    </row>
    <row r="460" spans="11:13" x14ac:dyDescent="0.3">
      <c r="K460" s="204">
        <v>428</v>
      </c>
      <c r="L460" s="205">
        <v>733191.778935018</v>
      </c>
      <c r="M460" s="206">
        <v>0.70245587774470852</v>
      </c>
    </row>
    <row r="461" spans="11:13" x14ac:dyDescent="0.3">
      <c r="K461" s="204">
        <v>429</v>
      </c>
      <c r="L461" s="205">
        <v>606404.7295243633</v>
      </c>
      <c r="M461" s="206">
        <v>0.6643020072696546</v>
      </c>
    </row>
    <row r="462" spans="11:13" x14ac:dyDescent="0.3">
      <c r="K462" s="204">
        <v>430</v>
      </c>
      <c r="L462" s="205">
        <v>692715.93546690186</v>
      </c>
      <c r="M462" s="206">
        <v>0.70024624538756286</v>
      </c>
    </row>
    <row r="463" spans="11:13" x14ac:dyDescent="0.3">
      <c r="K463" s="204">
        <v>431</v>
      </c>
      <c r="L463" s="205">
        <v>727749.96308441972</v>
      </c>
      <c r="M463" s="206">
        <v>0.731658520739636</v>
      </c>
    </row>
    <row r="464" spans="11:13" x14ac:dyDescent="0.3">
      <c r="K464" s="204">
        <v>432</v>
      </c>
      <c r="L464" s="205">
        <v>599043.55449446011</v>
      </c>
      <c r="M464" s="206">
        <v>0.6639730776760846</v>
      </c>
    </row>
    <row r="465" spans="11:13" x14ac:dyDescent="0.3">
      <c r="K465" s="204">
        <v>433</v>
      </c>
      <c r="L465" s="205">
        <v>749233.75847392529</v>
      </c>
      <c r="M465" s="206">
        <v>0.73448272665933323</v>
      </c>
    </row>
    <row r="466" spans="11:13" x14ac:dyDescent="0.3">
      <c r="K466" s="204">
        <v>434</v>
      </c>
      <c r="L466" s="205">
        <v>355209.58310742723</v>
      </c>
      <c r="M466" s="206">
        <v>0.58607276037714695</v>
      </c>
    </row>
    <row r="467" spans="11:13" x14ac:dyDescent="0.3">
      <c r="K467" s="204">
        <v>435</v>
      </c>
      <c r="L467" s="205">
        <v>203396.02247239882</v>
      </c>
      <c r="M467" s="206">
        <v>0.53212012118018071</v>
      </c>
    </row>
    <row r="468" spans="11:13" x14ac:dyDescent="0.3">
      <c r="K468" s="204">
        <v>436</v>
      </c>
      <c r="L468" s="205">
        <v>185412.18543012906</v>
      </c>
      <c r="M468" s="206">
        <v>0.52432474131310158</v>
      </c>
    </row>
    <row r="469" spans="11:13" x14ac:dyDescent="0.3">
      <c r="K469" s="204">
        <v>437</v>
      </c>
      <c r="L469" s="205">
        <v>763726.55017212359</v>
      </c>
      <c r="M469" s="206">
        <v>0.75080911807429151</v>
      </c>
    </row>
    <row r="470" spans="11:13" x14ac:dyDescent="0.3">
      <c r="K470" s="204">
        <v>438</v>
      </c>
      <c r="L470" s="205">
        <v>620104.38490462909</v>
      </c>
      <c r="M470" s="206">
        <v>0.68492376180136283</v>
      </c>
    </row>
    <row r="471" spans="11:13" x14ac:dyDescent="0.3">
      <c r="K471" s="204">
        <v>439</v>
      </c>
      <c r="L471" s="205">
        <v>560420.50144201797</v>
      </c>
      <c r="M471" s="206">
        <v>0.65882149955193281</v>
      </c>
    </row>
    <row r="472" spans="11:13" x14ac:dyDescent="0.3">
      <c r="K472" s="204">
        <v>440</v>
      </c>
      <c r="L472" s="205">
        <v>664463.42522423621</v>
      </c>
      <c r="M472" s="206">
        <v>0.69243084779199604</v>
      </c>
    </row>
    <row r="473" spans="11:13" x14ac:dyDescent="0.3">
      <c r="K473" s="204">
        <v>441</v>
      </c>
      <c r="L473" s="205">
        <v>534522.51598745212</v>
      </c>
      <c r="M473" s="206">
        <v>0.65023789193766679</v>
      </c>
    </row>
    <row r="474" spans="11:13" x14ac:dyDescent="0.3">
      <c r="K474" s="204">
        <v>442</v>
      </c>
      <c r="L474" s="205">
        <v>357289.68894630019</v>
      </c>
      <c r="M474" s="206">
        <v>0.5959803867021467</v>
      </c>
    </row>
    <row r="475" spans="11:13" x14ac:dyDescent="0.3">
      <c r="K475" s="204">
        <v>443</v>
      </c>
      <c r="L475" s="205">
        <v>583870.75051469356</v>
      </c>
      <c r="M475" s="206">
        <v>0.6771100175323741</v>
      </c>
    </row>
    <row r="476" spans="11:13" x14ac:dyDescent="0.3">
      <c r="K476" s="204">
        <v>444</v>
      </c>
      <c r="L476" s="205">
        <v>629641.4459197484</v>
      </c>
      <c r="M476" s="206">
        <v>0.69566776698390864</v>
      </c>
    </row>
    <row r="477" spans="11:13" x14ac:dyDescent="0.3">
      <c r="K477" s="204">
        <v>445</v>
      </c>
      <c r="L477" s="205">
        <v>387582.17696772376</v>
      </c>
      <c r="M477" s="206">
        <v>0.60970391710435279</v>
      </c>
    </row>
    <row r="478" spans="11:13" x14ac:dyDescent="0.3">
      <c r="K478" s="204">
        <v>446</v>
      </c>
      <c r="L478" s="205">
        <v>770970.87721126294</v>
      </c>
      <c r="M478" s="206">
        <v>0.75116027863928458</v>
      </c>
    </row>
    <row r="479" spans="11:13" x14ac:dyDescent="0.3">
      <c r="K479" s="204">
        <v>447</v>
      </c>
      <c r="L479" s="205">
        <v>534252.6835592133</v>
      </c>
      <c r="M479" s="206">
        <v>0.63887053234275681</v>
      </c>
    </row>
    <row r="480" spans="11:13" x14ac:dyDescent="0.3">
      <c r="K480" s="204">
        <v>448</v>
      </c>
      <c r="L480" s="205">
        <v>213455.27847247152</v>
      </c>
      <c r="M480" s="206">
        <v>0.54231403430734759</v>
      </c>
    </row>
    <row r="481" spans="11:13" x14ac:dyDescent="0.3">
      <c r="K481" s="204">
        <v>449</v>
      </c>
      <c r="L481" s="205">
        <v>1020457.8817202873</v>
      </c>
      <c r="M481" s="206">
        <v>0.84184290236492676</v>
      </c>
    </row>
    <row r="482" spans="11:13" x14ac:dyDescent="0.3">
      <c r="K482" s="204">
        <v>450</v>
      </c>
      <c r="L482" s="205">
        <v>-182185.61366411252</v>
      </c>
      <c r="M482" s="206">
        <v>0.39310343139159487</v>
      </c>
    </row>
    <row r="483" spans="11:13" x14ac:dyDescent="0.3">
      <c r="K483" s="204">
        <v>451</v>
      </c>
      <c r="L483" s="205">
        <v>744353.57688936871</v>
      </c>
      <c r="M483" s="206">
        <v>0.71293064818875873</v>
      </c>
    </row>
    <row r="484" spans="11:13" x14ac:dyDescent="0.3">
      <c r="K484" s="204">
        <v>452</v>
      </c>
      <c r="L484" s="205">
        <v>1173312.1358420155</v>
      </c>
      <c r="M484" s="206">
        <v>0.87001620037051364</v>
      </c>
    </row>
    <row r="485" spans="11:13" x14ac:dyDescent="0.3">
      <c r="K485" s="204">
        <v>453</v>
      </c>
      <c r="L485" s="205">
        <v>448376.4363115211</v>
      </c>
      <c r="M485" s="206">
        <v>0.62000718440088298</v>
      </c>
    </row>
    <row r="486" spans="11:13" x14ac:dyDescent="0.3">
      <c r="K486" s="204">
        <v>454</v>
      </c>
      <c r="L486" s="205">
        <v>1465430.281210803</v>
      </c>
      <c r="M486" s="206">
        <v>0.97206792501886086</v>
      </c>
    </row>
    <row r="487" spans="11:13" x14ac:dyDescent="0.3">
      <c r="K487" s="204">
        <v>455</v>
      </c>
      <c r="L487" s="205">
        <v>240051.31503138226</v>
      </c>
      <c r="M487" s="206">
        <v>0.54456914479669249</v>
      </c>
    </row>
    <row r="488" spans="11:13" x14ac:dyDescent="0.3">
      <c r="K488" s="204">
        <v>456</v>
      </c>
      <c r="L488" s="205">
        <v>374637.7177919806</v>
      </c>
      <c r="M488" s="206">
        <v>0.58525966474462443</v>
      </c>
    </row>
    <row r="489" spans="11:13" x14ac:dyDescent="0.3">
      <c r="K489" s="204">
        <v>457</v>
      </c>
      <c r="L489" s="205">
        <v>609990.70083633251</v>
      </c>
      <c r="M489" s="206">
        <v>0.67298696475380915</v>
      </c>
    </row>
    <row r="490" spans="11:13" x14ac:dyDescent="0.3">
      <c r="K490" s="204">
        <v>458</v>
      </c>
      <c r="L490" s="205">
        <v>784728.4672508114</v>
      </c>
      <c r="M490" s="206">
        <v>0.73973021121830085</v>
      </c>
    </row>
    <row r="491" spans="11:13" x14ac:dyDescent="0.3">
      <c r="K491" s="204">
        <v>459</v>
      </c>
      <c r="L491" s="205">
        <v>863227.28669418022</v>
      </c>
      <c r="M491" s="206">
        <v>0.77763128827423311</v>
      </c>
    </row>
    <row r="492" spans="11:13" x14ac:dyDescent="0.3">
      <c r="K492" s="204">
        <v>460</v>
      </c>
      <c r="L492" s="205">
        <v>840638.95716848969</v>
      </c>
      <c r="M492" s="206">
        <v>0.77938050663813052</v>
      </c>
    </row>
    <row r="493" spans="11:13" x14ac:dyDescent="0.3">
      <c r="K493" s="204">
        <v>461</v>
      </c>
      <c r="L493" s="205">
        <v>673867.70100148208</v>
      </c>
      <c r="M493" s="206">
        <v>0.70491580151631794</v>
      </c>
    </row>
    <row r="494" spans="11:13" x14ac:dyDescent="0.3">
      <c r="K494" s="204">
        <v>462</v>
      </c>
      <c r="L494" s="205">
        <v>99432.921439469792</v>
      </c>
      <c r="M494" s="206">
        <v>0.49637885699140472</v>
      </c>
    </row>
    <row r="495" spans="11:13" x14ac:dyDescent="0.3">
      <c r="K495" s="204">
        <v>463</v>
      </c>
      <c r="L495" s="205">
        <v>319731.07097563613</v>
      </c>
      <c r="M495" s="206">
        <v>0.58090970353706228</v>
      </c>
    </row>
    <row r="496" spans="11:13" x14ac:dyDescent="0.3">
      <c r="K496" s="204">
        <v>464</v>
      </c>
      <c r="L496" s="205">
        <v>738392.50440283027</v>
      </c>
      <c r="M496" s="206">
        <v>0.70734241314318158</v>
      </c>
    </row>
    <row r="497" spans="11:13" x14ac:dyDescent="0.3">
      <c r="K497" s="204">
        <v>465</v>
      </c>
      <c r="L497" s="205">
        <v>1009567.3744166009</v>
      </c>
      <c r="M497" s="206">
        <v>0.84215997937596532</v>
      </c>
    </row>
    <row r="498" spans="11:13" x14ac:dyDescent="0.3">
      <c r="K498" s="204">
        <v>466</v>
      </c>
      <c r="L498" s="205">
        <v>230591.77111954195</v>
      </c>
      <c r="M498" s="206">
        <v>0.54440929945448713</v>
      </c>
    </row>
    <row r="499" spans="11:13" x14ac:dyDescent="0.3">
      <c r="K499" s="204">
        <v>467</v>
      </c>
      <c r="L499" s="205">
        <v>924182.87464812165</v>
      </c>
      <c r="M499" s="206">
        <v>0.77880269051705975</v>
      </c>
    </row>
    <row r="500" spans="11:13" x14ac:dyDescent="0.3">
      <c r="K500" s="204">
        <v>468</v>
      </c>
      <c r="L500" s="205">
        <v>377007.1727940226</v>
      </c>
      <c r="M500" s="206">
        <v>0.59302493397896372</v>
      </c>
    </row>
    <row r="501" spans="11:13" x14ac:dyDescent="0.3">
      <c r="K501" s="204">
        <v>469</v>
      </c>
      <c r="L501" s="205">
        <v>490996.06310211262</v>
      </c>
      <c r="M501" s="206">
        <v>0.64215490146385035</v>
      </c>
    </row>
    <row r="502" spans="11:13" x14ac:dyDescent="0.3">
      <c r="K502" s="204">
        <v>470</v>
      </c>
      <c r="L502" s="205">
        <v>933496.93962555891</v>
      </c>
      <c r="M502" s="206">
        <v>0.80142604535754014</v>
      </c>
    </row>
    <row r="503" spans="11:13" x14ac:dyDescent="0.3">
      <c r="K503" s="204">
        <v>471</v>
      </c>
      <c r="L503" s="205">
        <v>846437.25760153774</v>
      </c>
      <c r="M503" s="206">
        <v>0.78125162278346361</v>
      </c>
    </row>
    <row r="504" spans="11:13" x14ac:dyDescent="0.3">
      <c r="K504" s="204">
        <v>472</v>
      </c>
      <c r="L504" s="205">
        <v>410214.52488511847</v>
      </c>
      <c r="M504" s="206">
        <v>0.61935089181515401</v>
      </c>
    </row>
    <row r="505" spans="11:13" x14ac:dyDescent="0.3">
      <c r="K505" s="204">
        <v>473</v>
      </c>
      <c r="L505" s="205">
        <v>749979.50146112498</v>
      </c>
      <c r="M505" s="206">
        <v>0.7418336289228562</v>
      </c>
    </row>
    <row r="506" spans="11:13" x14ac:dyDescent="0.3">
      <c r="K506" s="204">
        <v>474</v>
      </c>
      <c r="L506" s="205">
        <v>887250.14031210169</v>
      </c>
      <c r="M506" s="206">
        <v>0.79598616562565261</v>
      </c>
    </row>
    <row r="507" spans="11:13" x14ac:dyDescent="0.3">
      <c r="K507" s="204">
        <v>475</v>
      </c>
      <c r="L507" s="205">
        <v>381744.49990973715</v>
      </c>
      <c r="M507" s="206">
        <v>0.59325080732253399</v>
      </c>
    </row>
    <row r="508" spans="11:13" x14ac:dyDescent="0.3">
      <c r="K508" s="204">
        <v>476</v>
      </c>
      <c r="L508" s="205">
        <v>850234.5978798666</v>
      </c>
      <c r="M508" s="206">
        <v>0.76868031286131022</v>
      </c>
    </row>
    <row r="509" spans="11:13" x14ac:dyDescent="0.3">
      <c r="K509" s="204">
        <v>477</v>
      </c>
      <c r="L509" s="205">
        <v>541069.50413007569</v>
      </c>
      <c r="M509" s="206">
        <v>0.63861944546895955</v>
      </c>
    </row>
    <row r="510" spans="11:13" x14ac:dyDescent="0.3">
      <c r="K510" s="204">
        <v>478</v>
      </c>
      <c r="L510" s="205">
        <v>586893.47675710218</v>
      </c>
      <c r="M510" s="206">
        <v>0.68130305512332034</v>
      </c>
    </row>
    <row r="511" spans="11:13" x14ac:dyDescent="0.3">
      <c r="K511" s="204">
        <v>479</v>
      </c>
      <c r="L511" s="205">
        <v>292444.77840014873</v>
      </c>
      <c r="M511" s="206">
        <v>0.56896217040843911</v>
      </c>
    </row>
    <row r="512" spans="11:13" x14ac:dyDescent="0.3">
      <c r="K512" s="204">
        <v>480</v>
      </c>
      <c r="L512" s="205">
        <v>343396.35210315138</v>
      </c>
      <c r="M512" s="206">
        <v>0.59054400437936372</v>
      </c>
    </row>
    <row r="513" spans="11:13" x14ac:dyDescent="0.3">
      <c r="K513" s="204">
        <v>481</v>
      </c>
      <c r="L513" s="205">
        <v>766748.20670987479</v>
      </c>
      <c r="M513" s="206">
        <v>0.74826260794247257</v>
      </c>
    </row>
    <row r="514" spans="11:13" x14ac:dyDescent="0.3">
      <c r="K514" s="204">
        <v>482</v>
      </c>
      <c r="L514" s="205">
        <v>475448.99765132135</v>
      </c>
      <c r="M514" s="206">
        <v>0.63659887202484322</v>
      </c>
    </row>
    <row r="515" spans="11:13" x14ac:dyDescent="0.3">
      <c r="K515" s="204">
        <v>483</v>
      </c>
      <c r="L515" s="205">
        <v>690830.33395937737</v>
      </c>
      <c r="M515" s="206">
        <v>0.72642784416745054</v>
      </c>
    </row>
    <row r="516" spans="11:13" x14ac:dyDescent="0.3">
      <c r="K516" s="204">
        <v>484</v>
      </c>
      <c r="L516" s="205">
        <v>902698.62595855305</v>
      </c>
      <c r="M516" s="206">
        <v>0.80987816061979312</v>
      </c>
    </row>
    <row r="517" spans="11:13" x14ac:dyDescent="0.3">
      <c r="K517" s="204">
        <v>485</v>
      </c>
      <c r="L517" s="205">
        <v>457558.11325456155</v>
      </c>
      <c r="M517" s="206">
        <v>0.62755655233565677</v>
      </c>
    </row>
    <row r="518" spans="11:13" x14ac:dyDescent="0.3">
      <c r="K518" s="204">
        <v>486</v>
      </c>
      <c r="L518" s="205">
        <v>428021.61912871618</v>
      </c>
      <c r="M518" s="206">
        <v>0.62202004900800523</v>
      </c>
    </row>
    <row r="519" spans="11:13" x14ac:dyDescent="0.3">
      <c r="K519" s="204">
        <v>487</v>
      </c>
      <c r="L519" s="205">
        <v>555841.33729052776</v>
      </c>
      <c r="M519" s="206">
        <v>0.66759243377961508</v>
      </c>
    </row>
    <row r="520" spans="11:13" x14ac:dyDescent="0.3">
      <c r="K520" s="204">
        <v>488</v>
      </c>
      <c r="L520" s="205">
        <v>858615.78029090492</v>
      </c>
      <c r="M520" s="206">
        <v>0.76342334028843384</v>
      </c>
    </row>
    <row r="521" spans="11:13" x14ac:dyDescent="0.3">
      <c r="K521" s="204">
        <v>489</v>
      </c>
      <c r="L521" s="205">
        <v>711499.92810147163</v>
      </c>
      <c r="M521" s="206">
        <v>0.72680361115725822</v>
      </c>
    </row>
    <row r="522" spans="11:13" x14ac:dyDescent="0.3">
      <c r="K522" s="204">
        <v>490</v>
      </c>
      <c r="L522" s="205">
        <v>487859.40751770837</v>
      </c>
      <c r="M522" s="206">
        <v>0.63956577459080699</v>
      </c>
    </row>
    <row r="523" spans="11:13" x14ac:dyDescent="0.3">
      <c r="K523" s="204">
        <v>491</v>
      </c>
      <c r="L523" s="205">
        <v>603886.23778261244</v>
      </c>
      <c r="M523" s="206">
        <v>0.68540467439642283</v>
      </c>
    </row>
    <row r="524" spans="11:13" x14ac:dyDescent="0.3">
      <c r="K524" s="204">
        <v>492</v>
      </c>
      <c r="L524" s="205">
        <v>494296.05444525182</v>
      </c>
      <c r="M524" s="206">
        <v>0.6594147294371222</v>
      </c>
    </row>
    <row r="525" spans="11:13" x14ac:dyDescent="0.3">
      <c r="K525" s="204">
        <v>493</v>
      </c>
      <c r="L525" s="205">
        <v>1009751.6233877554</v>
      </c>
      <c r="M525" s="206">
        <v>0.81371399214043483</v>
      </c>
    </row>
    <row r="526" spans="11:13" x14ac:dyDescent="0.3">
      <c r="K526" s="204">
        <v>494</v>
      </c>
      <c r="L526" s="205">
        <v>787079.54509583302</v>
      </c>
      <c r="M526" s="206">
        <v>0.74832086171296108</v>
      </c>
    </row>
    <row r="527" spans="11:13" x14ac:dyDescent="0.3">
      <c r="K527" s="204">
        <v>495</v>
      </c>
      <c r="L527" s="205">
        <v>1118247.2900321893</v>
      </c>
      <c r="M527" s="206">
        <v>0.84491136324144378</v>
      </c>
    </row>
    <row r="528" spans="11:13" x14ac:dyDescent="0.3">
      <c r="K528" s="204">
        <v>496</v>
      </c>
      <c r="L528" s="205">
        <v>267178.59588362696</v>
      </c>
      <c r="M528" s="206">
        <v>0.55567721043854523</v>
      </c>
    </row>
    <row r="529" spans="11:13" x14ac:dyDescent="0.3">
      <c r="K529" s="204">
        <v>497</v>
      </c>
      <c r="L529" s="205">
        <v>444000.23074820219</v>
      </c>
      <c r="M529" s="206">
        <v>0.63774174111338988</v>
      </c>
    </row>
    <row r="530" spans="11:13" x14ac:dyDescent="0.3">
      <c r="K530" s="204">
        <v>498</v>
      </c>
      <c r="L530" s="205">
        <v>150500.53703257116</v>
      </c>
      <c r="M530" s="206">
        <v>0.51294536108262201</v>
      </c>
    </row>
    <row r="531" spans="11:13" x14ac:dyDescent="0.3">
      <c r="K531" s="204">
        <v>499</v>
      </c>
      <c r="L531" s="205">
        <v>787920.34103212738</v>
      </c>
      <c r="M531" s="206">
        <v>0.7537298232470393</v>
      </c>
    </row>
    <row r="532" spans="11:13" x14ac:dyDescent="0.3">
      <c r="K532" s="204">
        <v>500</v>
      </c>
      <c r="L532" s="205">
        <v>562447.48499639099</v>
      </c>
      <c r="M532" s="206">
        <v>0.665348665250586</v>
      </c>
    </row>
    <row r="533" spans="11:13" x14ac:dyDescent="0.3">
      <c r="K533" s="204">
        <v>501</v>
      </c>
      <c r="L533" s="205">
        <v>855595.50207823282</v>
      </c>
      <c r="M533" s="206">
        <v>0.76001014232332453</v>
      </c>
    </row>
    <row r="534" spans="11:13" x14ac:dyDescent="0.3">
      <c r="K534" s="204">
        <v>502</v>
      </c>
      <c r="L534" s="205">
        <v>1100832.9410836701</v>
      </c>
      <c r="M534" s="206">
        <v>0.88431239572289133</v>
      </c>
    </row>
    <row r="535" spans="11:13" x14ac:dyDescent="0.3">
      <c r="K535" s="204">
        <v>503</v>
      </c>
      <c r="L535" s="205">
        <v>379191.56123546977</v>
      </c>
      <c r="M535" s="206">
        <v>0.58623811339891607</v>
      </c>
    </row>
    <row r="536" spans="11:13" x14ac:dyDescent="0.3">
      <c r="K536" s="204">
        <v>504</v>
      </c>
      <c r="L536" s="205">
        <v>848193.39878106397</v>
      </c>
      <c r="M536" s="206">
        <v>0.79524598889022236</v>
      </c>
    </row>
    <row r="537" spans="11:13" x14ac:dyDescent="0.3">
      <c r="K537" s="204">
        <v>505</v>
      </c>
      <c r="L537" s="205">
        <v>472666.95908676134</v>
      </c>
      <c r="M537" s="206">
        <v>0.63495142195875065</v>
      </c>
    </row>
    <row r="538" spans="11:13" x14ac:dyDescent="0.3">
      <c r="K538" s="204">
        <v>506</v>
      </c>
      <c r="L538" s="205">
        <v>422534.40274797473</v>
      </c>
      <c r="M538" s="206">
        <v>0.60913161400617</v>
      </c>
    </row>
    <row r="539" spans="11:13" x14ac:dyDescent="0.3">
      <c r="K539" s="204">
        <v>507</v>
      </c>
      <c r="L539" s="205">
        <v>165133.76789333858</v>
      </c>
      <c r="M539" s="206">
        <v>0.51608565114867178</v>
      </c>
    </row>
    <row r="540" spans="11:13" x14ac:dyDescent="0.3">
      <c r="K540" s="204">
        <v>508</v>
      </c>
      <c r="L540" s="205">
        <v>902378.27299934998</v>
      </c>
      <c r="M540" s="206">
        <v>0.80429246426228462</v>
      </c>
    </row>
    <row r="541" spans="11:13" x14ac:dyDescent="0.3">
      <c r="K541" s="204">
        <v>509</v>
      </c>
      <c r="L541" s="205">
        <v>794231.78062576847</v>
      </c>
      <c r="M541" s="206">
        <v>0.77700271555882217</v>
      </c>
    </row>
    <row r="542" spans="11:13" x14ac:dyDescent="0.3">
      <c r="K542" s="204">
        <v>510</v>
      </c>
      <c r="L542" s="205">
        <v>128857.33302259864</v>
      </c>
      <c r="M542" s="206">
        <v>0.50681617601635276</v>
      </c>
    </row>
    <row r="543" spans="11:13" x14ac:dyDescent="0.3">
      <c r="K543" s="204">
        <v>511</v>
      </c>
      <c r="L543" s="205">
        <v>460444.47287729755</v>
      </c>
      <c r="M543" s="206">
        <v>0.62038190321273556</v>
      </c>
    </row>
    <row r="544" spans="11:13" x14ac:dyDescent="0.3">
      <c r="K544" s="204">
        <v>512</v>
      </c>
      <c r="L544" s="205">
        <v>580402.1209713784</v>
      </c>
      <c r="M544" s="206">
        <v>0.66994362100971983</v>
      </c>
    </row>
    <row r="545" spans="11:13" x14ac:dyDescent="0.3">
      <c r="K545" s="204">
        <v>513</v>
      </c>
      <c r="L545" s="205">
        <v>68070.415929082315</v>
      </c>
      <c r="M545" s="206">
        <v>0.48404690065644207</v>
      </c>
    </row>
    <row r="546" spans="11:13" x14ac:dyDescent="0.3">
      <c r="K546" s="204">
        <v>514</v>
      </c>
      <c r="L546" s="205">
        <v>603903.16280878056</v>
      </c>
      <c r="M546" s="206">
        <v>0.67363259639947137</v>
      </c>
    </row>
    <row r="547" spans="11:13" x14ac:dyDescent="0.3">
      <c r="K547" s="204">
        <v>515</v>
      </c>
      <c r="L547" s="205">
        <v>615267.55462808209</v>
      </c>
      <c r="M547" s="206">
        <v>0.70167763911214731</v>
      </c>
    </row>
    <row r="548" spans="11:13" x14ac:dyDescent="0.3">
      <c r="K548" s="204">
        <v>516</v>
      </c>
      <c r="L548" s="205">
        <v>619582.27630278422</v>
      </c>
      <c r="M548" s="206">
        <v>0.69040853746799224</v>
      </c>
    </row>
    <row r="549" spans="11:13" x14ac:dyDescent="0.3">
      <c r="K549" s="204">
        <v>517</v>
      </c>
      <c r="L549" s="205">
        <v>854078.44402686041</v>
      </c>
      <c r="M549" s="206">
        <v>0.79185434654168452</v>
      </c>
    </row>
    <row r="550" spans="11:13" x14ac:dyDescent="0.3">
      <c r="K550" s="204">
        <v>518</v>
      </c>
      <c r="L550" s="205">
        <v>342067.96616902063</v>
      </c>
      <c r="M550" s="206">
        <v>0.59550240439467061</v>
      </c>
    </row>
    <row r="551" spans="11:13" x14ac:dyDescent="0.3">
      <c r="K551" s="204">
        <v>519</v>
      </c>
      <c r="L551" s="205">
        <v>162737.83335007355</v>
      </c>
      <c r="M551" s="206">
        <v>0.51768319272196228</v>
      </c>
    </row>
    <row r="552" spans="11:13" x14ac:dyDescent="0.3">
      <c r="K552" s="204">
        <v>520</v>
      </c>
      <c r="L552" s="205">
        <v>906568.11014356138</v>
      </c>
      <c r="M552" s="206">
        <v>0.79377982325945085</v>
      </c>
    </row>
    <row r="553" spans="11:13" x14ac:dyDescent="0.3">
      <c r="K553" s="204">
        <v>521</v>
      </c>
      <c r="L553" s="205">
        <v>685905.98253628053</v>
      </c>
      <c r="M553" s="206">
        <v>0.70633486991786043</v>
      </c>
    </row>
    <row r="554" spans="11:13" x14ac:dyDescent="0.3">
      <c r="K554" s="204">
        <v>522</v>
      </c>
      <c r="L554" s="205">
        <v>589116.69415443717</v>
      </c>
      <c r="M554" s="206">
        <v>0.67409086509180094</v>
      </c>
    </row>
    <row r="555" spans="11:13" x14ac:dyDescent="0.3">
      <c r="K555" s="204">
        <v>523</v>
      </c>
      <c r="L555" s="205">
        <v>438728.1260891459</v>
      </c>
      <c r="M555" s="206">
        <v>0.62022282503383575</v>
      </c>
    </row>
    <row r="556" spans="11:13" x14ac:dyDescent="0.3">
      <c r="K556" s="204">
        <v>524</v>
      </c>
      <c r="L556" s="205">
        <v>857778.52095868485</v>
      </c>
      <c r="M556" s="206">
        <v>0.79453721949934497</v>
      </c>
    </row>
    <row r="557" spans="11:13" x14ac:dyDescent="0.3">
      <c r="K557" s="204">
        <v>525</v>
      </c>
      <c r="L557" s="205">
        <v>1077885.5763399582</v>
      </c>
      <c r="M557" s="206">
        <v>0.8686483595627752</v>
      </c>
    </row>
    <row r="558" spans="11:13" x14ac:dyDescent="0.3">
      <c r="K558" s="204">
        <v>526</v>
      </c>
      <c r="L558" s="205">
        <v>801682.63499065721</v>
      </c>
      <c r="M558" s="206">
        <v>0.76299079039954254</v>
      </c>
    </row>
    <row r="559" spans="11:13" x14ac:dyDescent="0.3">
      <c r="K559" s="204">
        <v>527</v>
      </c>
      <c r="L559" s="205">
        <v>267971.21027506143</v>
      </c>
      <c r="M559" s="206">
        <v>0.55335940732211975</v>
      </c>
    </row>
    <row r="560" spans="11:13" x14ac:dyDescent="0.3">
      <c r="K560" s="204">
        <v>528</v>
      </c>
      <c r="L560" s="205">
        <v>406545.70097125461</v>
      </c>
      <c r="M560" s="206">
        <v>0.61392481266800436</v>
      </c>
    </row>
    <row r="561" spans="11:13" x14ac:dyDescent="0.3">
      <c r="K561" s="204">
        <v>529</v>
      </c>
      <c r="L561" s="205">
        <v>893464.50254410319</v>
      </c>
      <c r="M561" s="206">
        <v>0.79061329619589138</v>
      </c>
    </row>
    <row r="562" spans="11:13" x14ac:dyDescent="0.3">
      <c r="K562" s="204">
        <v>530</v>
      </c>
      <c r="L562" s="205">
        <v>127964.7787511074</v>
      </c>
      <c r="M562" s="206">
        <v>0.50600776502471789</v>
      </c>
    </row>
    <row r="563" spans="11:13" x14ac:dyDescent="0.3">
      <c r="K563" s="204">
        <v>531</v>
      </c>
      <c r="L563" s="205">
        <v>637161.32345489739</v>
      </c>
      <c r="M563" s="206">
        <v>0.69266265544056371</v>
      </c>
    </row>
    <row r="564" spans="11:13" x14ac:dyDescent="0.3">
      <c r="K564" s="204">
        <v>532</v>
      </c>
      <c r="L564" s="205">
        <v>594720.75808560988</v>
      </c>
      <c r="M564" s="206">
        <v>0.68136539969197463</v>
      </c>
    </row>
    <row r="565" spans="11:13" x14ac:dyDescent="0.3">
      <c r="K565" s="204">
        <v>533</v>
      </c>
      <c r="L565" s="205">
        <v>43489.906842862256</v>
      </c>
      <c r="M565" s="206">
        <v>0.47276926452963819</v>
      </c>
    </row>
    <row r="566" spans="11:13" x14ac:dyDescent="0.3">
      <c r="K566" s="204">
        <v>534</v>
      </c>
      <c r="L566" s="205">
        <v>553582.27820172906</v>
      </c>
      <c r="M566" s="206">
        <v>0.68926073187605374</v>
      </c>
    </row>
    <row r="567" spans="11:13" x14ac:dyDescent="0.3">
      <c r="K567" s="204">
        <v>535</v>
      </c>
      <c r="L567" s="205">
        <v>312684.11077101715</v>
      </c>
      <c r="M567" s="206">
        <v>0.57092953667636981</v>
      </c>
    </row>
    <row r="568" spans="11:13" x14ac:dyDescent="0.3">
      <c r="K568" s="204">
        <v>536</v>
      </c>
      <c r="L568" s="205">
        <v>327129.01554555539</v>
      </c>
      <c r="M568" s="206">
        <v>0.57587991626726498</v>
      </c>
    </row>
    <row r="569" spans="11:13" x14ac:dyDescent="0.3">
      <c r="K569" s="204">
        <v>537</v>
      </c>
      <c r="L569" s="205">
        <v>719979.97699485859</v>
      </c>
      <c r="M569" s="206">
        <v>0.72635240317667615</v>
      </c>
    </row>
    <row r="570" spans="11:13" x14ac:dyDescent="0.3">
      <c r="K570" s="204">
        <v>538</v>
      </c>
      <c r="L570" s="205">
        <v>1337589.6325158048</v>
      </c>
      <c r="M570" s="206">
        <v>0.95226310049711071</v>
      </c>
    </row>
    <row r="571" spans="11:13" x14ac:dyDescent="0.3">
      <c r="K571" s="204">
        <v>539</v>
      </c>
      <c r="L571" s="205">
        <v>474536.73370737489</v>
      </c>
      <c r="M571" s="206">
        <v>0.63239537694851133</v>
      </c>
    </row>
    <row r="572" spans="11:13" x14ac:dyDescent="0.3">
      <c r="K572" s="204">
        <v>540</v>
      </c>
      <c r="L572" s="205">
        <v>1034175.9146946319</v>
      </c>
      <c r="M572" s="206">
        <v>0.84794303695268769</v>
      </c>
    </row>
    <row r="573" spans="11:13" x14ac:dyDescent="0.3">
      <c r="K573" s="204">
        <v>541</v>
      </c>
      <c r="L573" s="205">
        <v>488799.06792159611</v>
      </c>
      <c r="M573" s="206">
        <v>0.66258095516097515</v>
      </c>
    </row>
    <row r="574" spans="11:13" x14ac:dyDescent="0.3">
      <c r="K574" s="204">
        <v>542</v>
      </c>
      <c r="L574" s="205">
        <v>943746.49527402222</v>
      </c>
      <c r="M574" s="206">
        <v>0.81440466378681964</v>
      </c>
    </row>
    <row r="575" spans="11:13" x14ac:dyDescent="0.3">
      <c r="K575" s="204">
        <v>543</v>
      </c>
      <c r="L575" s="205">
        <v>686881.05722760409</v>
      </c>
      <c r="M575" s="206">
        <v>0.71562557031258667</v>
      </c>
    </row>
    <row r="576" spans="11:13" x14ac:dyDescent="0.3">
      <c r="K576" s="204">
        <v>544</v>
      </c>
      <c r="L576" s="205">
        <v>940790.20961654093</v>
      </c>
      <c r="M576" s="206">
        <v>0.81504387264888356</v>
      </c>
    </row>
    <row r="577" spans="11:13" x14ac:dyDescent="0.3">
      <c r="K577" s="204">
        <v>545</v>
      </c>
      <c r="L577" s="205">
        <v>1113414.9029795825</v>
      </c>
      <c r="M577" s="206">
        <v>0.89241123408850398</v>
      </c>
    </row>
    <row r="578" spans="11:13" x14ac:dyDescent="0.3">
      <c r="K578" s="204">
        <v>546</v>
      </c>
      <c r="L578" s="205">
        <v>589250.44547799183</v>
      </c>
      <c r="M578" s="206">
        <v>0.67853427549302703</v>
      </c>
    </row>
    <row r="579" spans="11:13" x14ac:dyDescent="0.3">
      <c r="K579" s="204">
        <v>547</v>
      </c>
      <c r="L579" s="205">
        <v>555525.70609604102</v>
      </c>
      <c r="M579" s="206">
        <v>0.67321206896374219</v>
      </c>
    </row>
    <row r="580" spans="11:13" x14ac:dyDescent="0.3">
      <c r="K580" s="204">
        <v>548</v>
      </c>
      <c r="L580" s="205">
        <v>861824.836696791</v>
      </c>
      <c r="M580" s="206">
        <v>0.78675365595725588</v>
      </c>
    </row>
    <row r="581" spans="11:13" x14ac:dyDescent="0.3">
      <c r="K581" s="204">
        <v>549</v>
      </c>
      <c r="L581" s="205">
        <v>761283.76243669866</v>
      </c>
      <c r="M581" s="206">
        <v>0.73004706307958411</v>
      </c>
    </row>
    <row r="582" spans="11:13" x14ac:dyDescent="0.3">
      <c r="K582" s="204">
        <v>550</v>
      </c>
      <c r="L582" s="205">
        <v>484219.83212070307</v>
      </c>
      <c r="M582" s="206">
        <v>0.65959223127888111</v>
      </c>
    </row>
    <row r="583" spans="11:13" x14ac:dyDescent="0.3">
      <c r="K583" s="204">
        <v>551</v>
      </c>
      <c r="L583" s="205">
        <v>486805.97417094791</v>
      </c>
      <c r="M583" s="206">
        <v>0.62574583020793573</v>
      </c>
    </row>
    <row r="584" spans="11:13" x14ac:dyDescent="0.3">
      <c r="K584" s="204">
        <v>552</v>
      </c>
      <c r="L584" s="205">
        <v>520974.07304214872</v>
      </c>
      <c r="M584" s="206">
        <v>0.63097455757313425</v>
      </c>
    </row>
    <row r="585" spans="11:13" x14ac:dyDescent="0.3">
      <c r="K585" s="204">
        <v>553</v>
      </c>
      <c r="L585" s="205">
        <v>679199.56127515202</v>
      </c>
      <c r="M585" s="206">
        <v>0.75367915074319414</v>
      </c>
    </row>
    <row r="586" spans="11:13" x14ac:dyDescent="0.3">
      <c r="K586" s="204">
        <v>554</v>
      </c>
      <c r="L586" s="205">
        <v>418395.42832321813</v>
      </c>
      <c r="M586" s="206">
        <v>0.61906817572374417</v>
      </c>
    </row>
    <row r="587" spans="11:13" x14ac:dyDescent="0.3">
      <c r="K587" s="204">
        <v>555</v>
      </c>
      <c r="L587" s="205">
        <v>601047.8092020941</v>
      </c>
      <c r="M587" s="206">
        <v>0.66742045578216214</v>
      </c>
    </row>
    <row r="588" spans="11:13" x14ac:dyDescent="0.3">
      <c r="K588" s="204">
        <v>556</v>
      </c>
      <c r="L588" s="205">
        <v>410767.08042117301</v>
      </c>
      <c r="M588" s="206">
        <v>0.61751428710610123</v>
      </c>
    </row>
    <row r="589" spans="11:13" x14ac:dyDescent="0.3">
      <c r="K589" s="204">
        <v>557</v>
      </c>
      <c r="L589" s="205">
        <v>324322.09095585207</v>
      </c>
      <c r="M589" s="206">
        <v>0.57915251624963249</v>
      </c>
    </row>
    <row r="590" spans="11:13" x14ac:dyDescent="0.3">
      <c r="K590" s="204">
        <v>558</v>
      </c>
      <c r="L590" s="205">
        <v>804180.95995811792</v>
      </c>
      <c r="M590" s="206">
        <v>0.75314994374249</v>
      </c>
    </row>
    <row r="591" spans="11:13" x14ac:dyDescent="0.3">
      <c r="K591" s="204">
        <v>559</v>
      </c>
      <c r="L591" s="205">
        <v>1192913.0753363981</v>
      </c>
      <c r="M591" s="206">
        <v>0.88731253608579341</v>
      </c>
    </row>
    <row r="592" spans="11:13" x14ac:dyDescent="0.3">
      <c r="K592" s="204">
        <v>560</v>
      </c>
      <c r="L592" s="205">
        <v>212152.24125635019</v>
      </c>
      <c r="M592" s="206">
        <v>0.53302263743869238</v>
      </c>
    </row>
    <row r="593" spans="11:13" x14ac:dyDescent="0.3">
      <c r="K593" s="204">
        <v>561</v>
      </c>
      <c r="L593" s="205">
        <v>670494.10046790354</v>
      </c>
      <c r="M593" s="206">
        <v>0.71793038146648747</v>
      </c>
    </row>
    <row r="594" spans="11:13" x14ac:dyDescent="0.3">
      <c r="K594" s="204">
        <v>562</v>
      </c>
      <c r="L594" s="205">
        <v>1152957.9303545714</v>
      </c>
      <c r="M594" s="206">
        <v>0.86404788374509267</v>
      </c>
    </row>
    <row r="595" spans="11:13" x14ac:dyDescent="0.3">
      <c r="K595" s="204">
        <v>563</v>
      </c>
      <c r="L595" s="205">
        <v>1184216.5766660129</v>
      </c>
      <c r="M595" s="206">
        <v>0.88757731960418584</v>
      </c>
    </row>
    <row r="596" spans="11:13" x14ac:dyDescent="0.3">
      <c r="K596" s="204">
        <v>564</v>
      </c>
      <c r="L596" s="205">
        <v>804675.99812199268</v>
      </c>
      <c r="M596" s="206">
        <v>0.73699271110081543</v>
      </c>
    </row>
    <row r="597" spans="11:13" x14ac:dyDescent="0.3">
      <c r="K597" s="204">
        <v>565</v>
      </c>
      <c r="L597" s="205">
        <v>318721.50703964429</v>
      </c>
      <c r="M597" s="206">
        <v>0.58073911163432967</v>
      </c>
    </row>
    <row r="598" spans="11:13" x14ac:dyDescent="0.3">
      <c r="K598" s="204">
        <v>566</v>
      </c>
      <c r="L598" s="205">
        <v>1187486.6124567888</v>
      </c>
      <c r="M598" s="206">
        <v>0.88390936522184993</v>
      </c>
    </row>
    <row r="599" spans="11:13" x14ac:dyDescent="0.3">
      <c r="K599" s="204">
        <v>567</v>
      </c>
      <c r="L599" s="205">
        <v>889008.85443005851</v>
      </c>
      <c r="M599" s="206">
        <v>0.77345434458905116</v>
      </c>
    </row>
    <row r="600" spans="11:13" x14ac:dyDescent="0.3">
      <c r="K600" s="204">
        <v>568</v>
      </c>
      <c r="L600" s="205">
        <v>547248.74130238732</v>
      </c>
      <c r="M600" s="206">
        <v>0.65933673436001095</v>
      </c>
    </row>
    <row r="601" spans="11:13" x14ac:dyDescent="0.3">
      <c r="K601" s="204">
        <v>569</v>
      </c>
      <c r="L601" s="205">
        <v>372757.93883091677</v>
      </c>
      <c r="M601" s="206">
        <v>0.59153850776171035</v>
      </c>
    </row>
    <row r="602" spans="11:13" x14ac:dyDescent="0.3">
      <c r="K602" s="204">
        <v>570</v>
      </c>
      <c r="L602" s="205">
        <v>688155.80571337137</v>
      </c>
      <c r="M602" s="206">
        <v>0.70107223045134637</v>
      </c>
    </row>
    <row r="603" spans="11:13" x14ac:dyDescent="0.3">
      <c r="K603" s="204">
        <v>571</v>
      </c>
      <c r="L603" s="205">
        <v>506073.75286066346</v>
      </c>
      <c r="M603" s="206">
        <v>0.64314911945263398</v>
      </c>
    </row>
    <row r="604" spans="11:13" x14ac:dyDescent="0.3">
      <c r="K604" s="204">
        <v>572</v>
      </c>
      <c r="L604" s="205">
        <v>416278.8689346835</v>
      </c>
      <c r="M604" s="206">
        <v>0.60386864341785129</v>
      </c>
    </row>
    <row r="605" spans="11:13" x14ac:dyDescent="0.3">
      <c r="K605" s="204">
        <v>573</v>
      </c>
      <c r="L605" s="205">
        <v>511442.76152274804</v>
      </c>
      <c r="M605" s="206">
        <v>0.6693038126897326</v>
      </c>
    </row>
    <row r="606" spans="11:13" x14ac:dyDescent="0.3">
      <c r="K606" s="204">
        <v>574</v>
      </c>
      <c r="L606" s="205">
        <v>226743.58221655479</v>
      </c>
      <c r="M606" s="206">
        <v>0.53993980084346149</v>
      </c>
    </row>
    <row r="607" spans="11:13" x14ac:dyDescent="0.3">
      <c r="K607" s="204">
        <v>575</v>
      </c>
      <c r="L607" s="205">
        <v>1018710.4432081417</v>
      </c>
      <c r="M607" s="206">
        <v>0.83347470530671575</v>
      </c>
    </row>
    <row r="608" spans="11:13" x14ac:dyDescent="0.3">
      <c r="K608" s="204">
        <v>576</v>
      </c>
      <c r="L608" s="205">
        <v>310378.21764130984</v>
      </c>
      <c r="M608" s="206">
        <v>0.58309389239015941</v>
      </c>
    </row>
    <row r="609" spans="11:13" x14ac:dyDescent="0.3">
      <c r="K609" s="204">
        <v>577</v>
      </c>
      <c r="L609" s="205">
        <v>438264.92506612837</v>
      </c>
      <c r="M609" s="206">
        <v>0.62784025217201034</v>
      </c>
    </row>
    <row r="610" spans="11:13" x14ac:dyDescent="0.3">
      <c r="K610" s="204">
        <v>578</v>
      </c>
      <c r="L610" s="205">
        <v>871743.11917294422</v>
      </c>
      <c r="M610" s="206">
        <v>0.76214714981074727</v>
      </c>
    </row>
    <row r="611" spans="11:13" x14ac:dyDescent="0.3">
      <c r="K611" s="204">
        <v>579</v>
      </c>
      <c r="L611" s="205">
        <v>827062.7965804413</v>
      </c>
      <c r="M611" s="206">
        <v>0.78778247716140815</v>
      </c>
    </row>
    <row r="612" spans="11:13" x14ac:dyDescent="0.3">
      <c r="K612" s="204">
        <v>580</v>
      </c>
      <c r="L612" s="205">
        <v>130873.15550881857</v>
      </c>
      <c r="M612" s="206">
        <v>0.50242449914166598</v>
      </c>
    </row>
    <row r="613" spans="11:13" x14ac:dyDescent="0.3">
      <c r="K613" s="204">
        <v>581</v>
      </c>
      <c r="L613" s="205">
        <v>485762.85758173559</v>
      </c>
      <c r="M613" s="206">
        <v>0.63380644569340006</v>
      </c>
    </row>
    <row r="614" spans="11:13" x14ac:dyDescent="0.3">
      <c r="K614" s="204">
        <v>582</v>
      </c>
      <c r="L614" s="205">
        <v>324228.42253269209</v>
      </c>
      <c r="M614" s="206">
        <v>0.57239205485072997</v>
      </c>
    </row>
    <row r="615" spans="11:13" x14ac:dyDescent="0.3">
      <c r="K615" s="204">
        <v>583</v>
      </c>
      <c r="L615" s="205">
        <v>1067473.5214006179</v>
      </c>
      <c r="M615" s="206">
        <v>0.8859039598780154</v>
      </c>
    </row>
    <row r="616" spans="11:13" x14ac:dyDescent="0.3">
      <c r="K616" s="204">
        <v>584</v>
      </c>
      <c r="L616" s="205">
        <v>806220.1907208846</v>
      </c>
      <c r="M616" s="206">
        <v>0.74185264116220995</v>
      </c>
    </row>
    <row r="617" spans="11:13" x14ac:dyDescent="0.3">
      <c r="K617" s="204">
        <v>585</v>
      </c>
      <c r="L617" s="205">
        <v>748742.02208858775</v>
      </c>
      <c r="M617" s="206">
        <v>0.73868869927520886</v>
      </c>
    </row>
    <row r="618" spans="11:13" x14ac:dyDescent="0.3">
      <c r="K618" s="204">
        <v>586</v>
      </c>
      <c r="L618" s="205">
        <v>156427.51748629659</v>
      </c>
      <c r="M618" s="206">
        <v>0.51456066671519185</v>
      </c>
    </row>
    <row r="619" spans="11:13" x14ac:dyDescent="0.3">
      <c r="K619" s="204">
        <v>587</v>
      </c>
      <c r="L619" s="205">
        <v>801688.69167592516</v>
      </c>
      <c r="M619" s="206">
        <v>0.75209613657698982</v>
      </c>
    </row>
    <row r="620" spans="11:13" x14ac:dyDescent="0.3">
      <c r="K620" s="204">
        <v>588</v>
      </c>
      <c r="L620" s="205">
        <v>1028145.777030739</v>
      </c>
      <c r="M620" s="206">
        <v>0.86658252210048636</v>
      </c>
    </row>
    <row r="621" spans="11:13" x14ac:dyDescent="0.3">
      <c r="K621" s="204">
        <v>589</v>
      </c>
      <c r="L621" s="205">
        <v>578952.59432551358</v>
      </c>
      <c r="M621" s="206">
        <v>0.68415715389964049</v>
      </c>
    </row>
    <row r="622" spans="11:13" x14ac:dyDescent="0.3">
      <c r="K622" s="204">
        <v>590</v>
      </c>
      <c r="L622" s="205">
        <v>551089.80189148383</v>
      </c>
      <c r="M622" s="206">
        <v>0.65853117612234691</v>
      </c>
    </row>
    <row r="623" spans="11:13" x14ac:dyDescent="0.3">
      <c r="K623" s="204">
        <v>591</v>
      </c>
      <c r="L623" s="205">
        <v>380008.44473834103</v>
      </c>
      <c r="M623" s="206">
        <v>0.60313830173730509</v>
      </c>
    </row>
    <row r="624" spans="11:13" x14ac:dyDescent="0.3">
      <c r="K624" s="204">
        <v>592</v>
      </c>
      <c r="L624" s="205">
        <v>101052.86058899947</v>
      </c>
      <c r="M624" s="206">
        <v>0.49917537043026239</v>
      </c>
    </row>
    <row r="625" spans="11:13" x14ac:dyDescent="0.3">
      <c r="K625" s="204">
        <v>593</v>
      </c>
      <c r="L625" s="205">
        <v>566070.81447265297</v>
      </c>
      <c r="M625" s="206">
        <v>0.66461357092619733</v>
      </c>
    </row>
    <row r="626" spans="11:13" x14ac:dyDescent="0.3">
      <c r="K626" s="204">
        <v>594</v>
      </c>
      <c r="L626" s="205">
        <v>591787.28802340478</v>
      </c>
      <c r="M626" s="206">
        <v>0.6711405614539423</v>
      </c>
    </row>
    <row r="627" spans="11:13" x14ac:dyDescent="0.3">
      <c r="K627" s="204">
        <v>595</v>
      </c>
      <c r="L627" s="205">
        <v>761311.45679092174</v>
      </c>
      <c r="M627" s="206">
        <v>0.72807924196192042</v>
      </c>
    </row>
    <row r="628" spans="11:13" x14ac:dyDescent="0.3">
      <c r="K628" s="204">
        <v>596</v>
      </c>
      <c r="L628" s="205">
        <v>808009.93977477262</v>
      </c>
      <c r="M628" s="206">
        <v>0.74691048026284679</v>
      </c>
    </row>
    <row r="629" spans="11:13" x14ac:dyDescent="0.3">
      <c r="K629" s="204">
        <v>597</v>
      </c>
      <c r="L629" s="205">
        <v>484699.0618554526</v>
      </c>
      <c r="M629" s="206">
        <v>0.64569681907210685</v>
      </c>
    </row>
    <row r="630" spans="11:13" x14ac:dyDescent="0.3">
      <c r="K630" s="204">
        <v>598</v>
      </c>
      <c r="L630" s="205">
        <v>599288.87862308649</v>
      </c>
      <c r="M630" s="206">
        <v>0.69340007354994948</v>
      </c>
    </row>
    <row r="631" spans="11:13" x14ac:dyDescent="0.3">
      <c r="K631" s="204">
        <v>599</v>
      </c>
      <c r="L631" s="205">
        <v>713704.9379090406</v>
      </c>
      <c r="M631" s="206">
        <v>0.72114875770135489</v>
      </c>
    </row>
    <row r="632" spans="11:13" x14ac:dyDescent="0.3">
      <c r="K632" s="204">
        <v>600</v>
      </c>
      <c r="L632" s="205">
        <v>755500.06613242673</v>
      </c>
      <c r="M632" s="206">
        <v>0.74276641616388428</v>
      </c>
    </row>
    <row r="633" spans="11:13" x14ac:dyDescent="0.3">
      <c r="K633" s="204">
        <v>601</v>
      </c>
      <c r="L633" s="205">
        <v>847102.76441144571</v>
      </c>
      <c r="M633" s="206">
        <v>0.78688519411800595</v>
      </c>
    </row>
    <row r="634" spans="11:13" x14ac:dyDescent="0.3">
      <c r="K634" s="204">
        <v>602</v>
      </c>
      <c r="L634" s="205">
        <v>1022986.552293363</v>
      </c>
      <c r="M634" s="206">
        <v>0.83606014680194152</v>
      </c>
    </row>
    <row r="635" spans="11:13" x14ac:dyDescent="0.3">
      <c r="K635" s="204">
        <v>603</v>
      </c>
      <c r="L635" s="205">
        <v>1200793.9125465034</v>
      </c>
      <c r="M635" s="206">
        <v>0.92592562191551209</v>
      </c>
    </row>
    <row r="636" spans="11:13" x14ac:dyDescent="0.3">
      <c r="K636" s="204">
        <v>604</v>
      </c>
      <c r="L636" s="205">
        <v>664642.10820251657</v>
      </c>
      <c r="M636" s="206">
        <v>0.7135421927013994</v>
      </c>
    </row>
    <row r="637" spans="11:13" x14ac:dyDescent="0.3">
      <c r="K637" s="204">
        <v>605</v>
      </c>
      <c r="L637" s="205">
        <v>324183.38982327934</v>
      </c>
      <c r="M637" s="206">
        <v>0.58846810324873378</v>
      </c>
    </row>
    <row r="638" spans="11:13" x14ac:dyDescent="0.3">
      <c r="K638" s="204">
        <v>606</v>
      </c>
      <c r="L638" s="205">
        <v>672842.85737715801</v>
      </c>
      <c r="M638" s="206">
        <v>0.70440861523337639</v>
      </c>
    </row>
    <row r="639" spans="11:13" x14ac:dyDescent="0.3">
      <c r="K639" s="204">
        <v>607</v>
      </c>
      <c r="L639" s="205">
        <v>265754.1619740501</v>
      </c>
      <c r="M639" s="206">
        <v>0.55725926913165513</v>
      </c>
    </row>
    <row r="640" spans="11:13" x14ac:dyDescent="0.3">
      <c r="K640" s="204">
        <v>608</v>
      </c>
      <c r="L640" s="205">
        <v>680256.50999367982</v>
      </c>
      <c r="M640" s="206">
        <v>0.69540846954885893</v>
      </c>
    </row>
    <row r="641" spans="11:13" x14ac:dyDescent="0.3">
      <c r="K641" s="204">
        <v>609</v>
      </c>
      <c r="L641" s="205">
        <v>1259101.640157464</v>
      </c>
      <c r="M641" s="206">
        <v>0.92429876804484135</v>
      </c>
    </row>
    <row r="642" spans="11:13" x14ac:dyDescent="0.3">
      <c r="K642" s="204">
        <v>610</v>
      </c>
      <c r="L642" s="205">
        <v>487507.21063292492</v>
      </c>
      <c r="M642" s="206">
        <v>0.62888973136136572</v>
      </c>
    </row>
    <row r="643" spans="11:13" x14ac:dyDescent="0.3">
      <c r="K643" s="204">
        <v>611</v>
      </c>
      <c r="L643" s="205">
        <v>343682.51018131338</v>
      </c>
      <c r="M643" s="206">
        <v>0.58796055914287226</v>
      </c>
    </row>
    <row r="644" spans="11:13" x14ac:dyDescent="0.3">
      <c r="K644" s="204">
        <v>612</v>
      </c>
      <c r="L644" s="205">
        <v>563611.76690153219</v>
      </c>
      <c r="M644" s="206">
        <v>0.67864885028952515</v>
      </c>
    </row>
    <row r="645" spans="11:13" x14ac:dyDescent="0.3">
      <c r="K645" s="204">
        <v>613</v>
      </c>
      <c r="L645" s="205">
        <v>773647.93084644899</v>
      </c>
      <c r="M645" s="206">
        <v>0.75098183757269976</v>
      </c>
    </row>
    <row r="646" spans="11:13" x14ac:dyDescent="0.3">
      <c r="K646" s="204">
        <v>614</v>
      </c>
      <c r="L646" s="205">
        <v>772201.7697109608</v>
      </c>
      <c r="M646" s="206">
        <v>0.75500035983133817</v>
      </c>
    </row>
    <row r="647" spans="11:13" x14ac:dyDescent="0.3">
      <c r="K647" s="204">
        <v>615</v>
      </c>
      <c r="L647" s="205">
        <v>1072273.2388568739</v>
      </c>
      <c r="M647" s="206">
        <v>0.85909011675839664</v>
      </c>
    </row>
    <row r="648" spans="11:13" x14ac:dyDescent="0.3">
      <c r="K648" s="204">
        <v>616</v>
      </c>
      <c r="L648" s="205">
        <v>325835.87395091308</v>
      </c>
      <c r="M648" s="206">
        <v>0.57097826407303143</v>
      </c>
    </row>
    <row r="649" spans="11:13" x14ac:dyDescent="0.3">
      <c r="K649" s="204">
        <v>617</v>
      </c>
      <c r="L649" s="205">
        <v>518512.97972629033</v>
      </c>
      <c r="M649" s="206">
        <v>0.64152534285491436</v>
      </c>
    </row>
    <row r="650" spans="11:13" x14ac:dyDescent="0.3">
      <c r="K650" s="204">
        <v>618</v>
      </c>
      <c r="L650" s="205">
        <v>517408.24786346592</v>
      </c>
      <c r="M650" s="206">
        <v>0.64821075478725398</v>
      </c>
    </row>
    <row r="651" spans="11:13" x14ac:dyDescent="0.3">
      <c r="K651" s="204">
        <v>619</v>
      </c>
      <c r="L651" s="205">
        <v>310753.64683444658</v>
      </c>
      <c r="M651" s="206">
        <v>0.56566105635235253</v>
      </c>
    </row>
    <row r="652" spans="11:13" x14ac:dyDescent="0.3">
      <c r="K652" s="204">
        <v>620</v>
      </c>
      <c r="L652" s="205">
        <v>1296124.2986685084</v>
      </c>
      <c r="M652" s="206">
        <v>0.98431125621287374</v>
      </c>
    </row>
    <row r="653" spans="11:13" x14ac:dyDescent="0.3">
      <c r="K653" s="204">
        <v>621</v>
      </c>
      <c r="L653" s="205">
        <v>681799.59318780666</v>
      </c>
      <c r="M653" s="206">
        <v>0.69785308274221491</v>
      </c>
    </row>
    <row r="654" spans="11:13" x14ac:dyDescent="0.3">
      <c r="K654" s="204">
        <v>622</v>
      </c>
      <c r="L654" s="205">
        <v>1250252.1460590907</v>
      </c>
      <c r="M654" s="206">
        <v>0.91485470750385356</v>
      </c>
    </row>
    <row r="655" spans="11:13" x14ac:dyDescent="0.3">
      <c r="K655" s="204">
        <v>623</v>
      </c>
      <c r="L655" s="205">
        <v>-168535.08628272219</v>
      </c>
      <c r="M655" s="206">
        <v>0.39421029802867835</v>
      </c>
    </row>
    <row r="656" spans="11:13" x14ac:dyDescent="0.3">
      <c r="K656" s="204">
        <v>624</v>
      </c>
      <c r="L656" s="205">
        <v>502455.957928285</v>
      </c>
      <c r="M656" s="206">
        <v>0.6439470737877393</v>
      </c>
    </row>
    <row r="657" spans="11:13" x14ac:dyDescent="0.3">
      <c r="K657" s="204">
        <v>625</v>
      </c>
      <c r="L657" s="205">
        <v>348204.84665982379</v>
      </c>
      <c r="M657" s="206">
        <v>0.57977888943473799</v>
      </c>
    </row>
    <row r="658" spans="11:13" x14ac:dyDescent="0.3">
      <c r="K658" s="204">
        <v>626</v>
      </c>
      <c r="L658" s="205">
        <v>512579.2426381195</v>
      </c>
      <c r="M658" s="206">
        <v>0.64111083353852583</v>
      </c>
    </row>
    <row r="659" spans="11:13" x14ac:dyDescent="0.3">
      <c r="K659" s="204">
        <v>627</v>
      </c>
      <c r="L659" s="205">
        <v>675562.02579797199</v>
      </c>
      <c r="M659" s="206">
        <v>0.71121342912479757</v>
      </c>
    </row>
    <row r="660" spans="11:13" x14ac:dyDescent="0.3">
      <c r="K660" s="204">
        <v>628</v>
      </c>
      <c r="L660" s="205">
        <v>530351.71206679335</v>
      </c>
      <c r="M660" s="206">
        <v>0.65079139629687166</v>
      </c>
    </row>
    <row r="661" spans="11:13" x14ac:dyDescent="0.3">
      <c r="K661" s="204">
        <v>629</v>
      </c>
      <c r="L661" s="205">
        <v>246112.2771972823</v>
      </c>
      <c r="M661" s="206">
        <v>0.54979536628449743</v>
      </c>
    </row>
    <row r="662" spans="11:13" x14ac:dyDescent="0.3">
      <c r="K662" s="204">
        <v>630</v>
      </c>
      <c r="L662" s="205">
        <v>640085.26790172048</v>
      </c>
      <c r="M662" s="206">
        <v>0.69420618799547174</v>
      </c>
    </row>
    <row r="663" spans="11:13" x14ac:dyDescent="0.3">
      <c r="K663" s="204">
        <v>631</v>
      </c>
      <c r="L663" s="205">
        <v>584729.24218797404</v>
      </c>
      <c r="M663" s="206">
        <v>0.67455808110520254</v>
      </c>
    </row>
    <row r="664" spans="11:13" x14ac:dyDescent="0.3">
      <c r="K664" s="204">
        <v>632</v>
      </c>
      <c r="L664" s="205">
        <v>1134927.1086143139</v>
      </c>
      <c r="M664" s="206">
        <v>0.88328403691752655</v>
      </c>
    </row>
    <row r="665" spans="11:13" x14ac:dyDescent="0.3">
      <c r="K665" s="204">
        <v>633</v>
      </c>
      <c r="L665" s="205">
        <v>753895.33826420037</v>
      </c>
      <c r="M665" s="206">
        <v>0.77405102022977723</v>
      </c>
    </row>
    <row r="666" spans="11:13" x14ac:dyDescent="0.3">
      <c r="K666" s="204">
        <v>634</v>
      </c>
      <c r="L666" s="205">
        <v>561447.72016624315</v>
      </c>
      <c r="M666" s="206">
        <v>0.6554169151653122</v>
      </c>
    </row>
    <row r="667" spans="11:13" x14ac:dyDescent="0.3">
      <c r="K667" s="204">
        <v>635</v>
      </c>
      <c r="L667" s="205">
        <v>956644.06362428609</v>
      </c>
      <c r="M667" s="206">
        <v>0.80862978216038472</v>
      </c>
    </row>
    <row r="668" spans="11:13" x14ac:dyDescent="0.3">
      <c r="K668" s="204">
        <v>636</v>
      </c>
      <c r="L668" s="205">
        <v>441866.976590971</v>
      </c>
      <c r="M668" s="206">
        <v>0.63306448492858891</v>
      </c>
    </row>
    <row r="669" spans="11:13" x14ac:dyDescent="0.3">
      <c r="K669" s="204">
        <v>637</v>
      </c>
      <c r="L669" s="205">
        <v>600512.38365901401</v>
      </c>
      <c r="M669" s="206">
        <v>0.68953620363998858</v>
      </c>
    </row>
    <row r="670" spans="11:13" x14ac:dyDescent="0.3">
      <c r="K670" s="204">
        <v>638</v>
      </c>
      <c r="L670" s="205">
        <v>629319.49201304885</v>
      </c>
      <c r="M670" s="206">
        <v>0.70610284871971474</v>
      </c>
    </row>
    <row r="671" spans="11:13" x14ac:dyDescent="0.3">
      <c r="K671" s="204">
        <v>639</v>
      </c>
      <c r="L671" s="205">
        <v>697266.60839290451</v>
      </c>
      <c r="M671" s="206">
        <v>0.73088304775752411</v>
      </c>
    </row>
    <row r="672" spans="11:13" x14ac:dyDescent="0.3">
      <c r="K672" s="204">
        <v>640</v>
      </c>
      <c r="L672" s="205">
        <v>195666.68842536723</v>
      </c>
      <c r="M672" s="206">
        <v>0.53651896895893691</v>
      </c>
    </row>
    <row r="673" spans="11:13" x14ac:dyDescent="0.3">
      <c r="K673" s="204">
        <v>641</v>
      </c>
      <c r="L673" s="205">
        <v>681069.37415876705</v>
      </c>
      <c r="M673" s="206">
        <v>0.70438163419571498</v>
      </c>
    </row>
    <row r="674" spans="11:13" x14ac:dyDescent="0.3">
      <c r="K674" s="204">
        <v>642</v>
      </c>
      <c r="L674" s="205">
        <v>573000.25786228804</v>
      </c>
      <c r="M674" s="206">
        <v>0.6536255983663688</v>
      </c>
    </row>
    <row r="675" spans="11:13" x14ac:dyDescent="0.3">
      <c r="K675" s="204">
        <v>643</v>
      </c>
      <c r="L675" s="205">
        <v>437035.8790816674</v>
      </c>
      <c r="M675" s="206">
        <v>0.63122059071589587</v>
      </c>
    </row>
    <row r="676" spans="11:13" x14ac:dyDescent="0.3">
      <c r="K676" s="204">
        <v>644</v>
      </c>
      <c r="L676" s="205">
        <v>387480.53831253946</v>
      </c>
      <c r="M676" s="206">
        <v>0.5970214155708824</v>
      </c>
    </row>
    <row r="677" spans="11:13" x14ac:dyDescent="0.3">
      <c r="K677" s="204">
        <v>645</v>
      </c>
      <c r="L677" s="205">
        <v>68306.84155744873</v>
      </c>
      <c r="M677" s="206">
        <v>0.48603199299749944</v>
      </c>
    </row>
    <row r="678" spans="11:13" x14ac:dyDescent="0.3">
      <c r="K678" s="204">
        <v>646</v>
      </c>
      <c r="L678" s="205">
        <v>678617.3155689952</v>
      </c>
      <c r="M678" s="206">
        <v>0.69317954735725973</v>
      </c>
    </row>
    <row r="679" spans="11:13" x14ac:dyDescent="0.3">
      <c r="K679" s="204">
        <v>647</v>
      </c>
      <c r="L679" s="205">
        <v>402263.09107719595</v>
      </c>
      <c r="M679" s="206">
        <v>0.60743076646026983</v>
      </c>
    </row>
    <row r="680" spans="11:13" x14ac:dyDescent="0.3">
      <c r="K680" s="204">
        <v>648</v>
      </c>
      <c r="L680" s="205">
        <v>1364497.5122994529</v>
      </c>
      <c r="M680" s="206">
        <v>0.99071614881202819</v>
      </c>
    </row>
    <row r="681" spans="11:13" x14ac:dyDescent="0.3">
      <c r="K681" s="204">
        <v>649</v>
      </c>
      <c r="L681" s="205">
        <v>476394.50373849459</v>
      </c>
      <c r="M681" s="206">
        <v>0.65372499767098313</v>
      </c>
    </row>
    <row r="682" spans="11:13" x14ac:dyDescent="0.3">
      <c r="K682" s="204">
        <v>650</v>
      </c>
      <c r="L682" s="205">
        <v>771344.08980967849</v>
      </c>
      <c r="M682" s="206">
        <v>0.77297216259403712</v>
      </c>
    </row>
    <row r="683" spans="11:13" x14ac:dyDescent="0.3">
      <c r="K683" s="204">
        <v>651</v>
      </c>
      <c r="L683" s="205">
        <v>363223.78035409236</v>
      </c>
      <c r="M683" s="206">
        <v>0.59008065829446443</v>
      </c>
    </row>
    <row r="684" spans="11:13" x14ac:dyDescent="0.3">
      <c r="K684" s="204">
        <v>652</v>
      </c>
      <c r="L684" s="205">
        <v>625785.65709980763</v>
      </c>
      <c r="M684" s="206">
        <v>0.69965249675766983</v>
      </c>
    </row>
    <row r="685" spans="11:13" x14ac:dyDescent="0.3">
      <c r="K685" s="204">
        <v>653</v>
      </c>
      <c r="L685" s="205">
        <v>701152.00850907248</v>
      </c>
      <c r="M685" s="206">
        <v>0.70757355960679824</v>
      </c>
    </row>
    <row r="686" spans="11:13" x14ac:dyDescent="0.3">
      <c r="K686" s="204">
        <v>654</v>
      </c>
      <c r="L686" s="205">
        <v>211177.64093474578</v>
      </c>
      <c r="M686" s="206">
        <v>0.5397789445126151</v>
      </c>
    </row>
    <row r="687" spans="11:13" x14ac:dyDescent="0.3">
      <c r="K687" s="204">
        <v>655</v>
      </c>
      <c r="L687" s="205">
        <v>821978.6883373782</v>
      </c>
      <c r="M687" s="206">
        <v>0.77000490472333949</v>
      </c>
    </row>
    <row r="688" spans="11:13" x14ac:dyDescent="0.3">
      <c r="K688" s="204">
        <v>656</v>
      </c>
      <c r="L688" s="205">
        <v>412752.16267648805</v>
      </c>
      <c r="M688" s="206">
        <v>0.61468417789009222</v>
      </c>
    </row>
    <row r="689" spans="11:13" x14ac:dyDescent="0.3">
      <c r="K689" s="204">
        <v>657</v>
      </c>
      <c r="L689" s="205">
        <v>311317.38399668876</v>
      </c>
      <c r="M689" s="206">
        <v>0.56723676834866721</v>
      </c>
    </row>
    <row r="690" spans="11:13" x14ac:dyDescent="0.3">
      <c r="K690" s="204">
        <v>658</v>
      </c>
      <c r="L690" s="205">
        <v>404165.8816429032</v>
      </c>
      <c r="M690" s="206">
        <v>0.62223917970110976</v>
      </c>
    </row>
    <row r="691" spans="11:13" x14ac:dyDescent="0.3">
      <c r="K691" s="204">
        <v>659</v>
      </c>
      <c r="L691" s="205">
        <v>427542.96938085509</v>
      </c>
      <c r="M691" s="206">
        <v>0.62093660078595447</v>
      </c>
    </row>
    <row r="692" spans="11:13" x14ac:dyDescent="0.3">
      <c r="K692" s="204">
        <v>660</v>
      </c>
      <c r="L692" s="205">
        <v>645813.72745912941</v>
      </c>
      <c r="M692" s="206">
        <v>0.70598347886732338</v>
      </c>
    </row>
    <row r="693" spans="11:13" x14ac:dyDescent="0.3">
      <c r="K693" s="204">
        <v>661</v>
      </c>
      <c r="L693" s="205">
        <v>594096.66058904445</v>
      </c>
      <c r="M693" s="206">
        <v>0.68327444489103839</v>
      </c>
    </row>
    <row r="694" spans="11:13" x14ac:dyDescent="0.3">
      <c r="K694" s="204">
        <v>662</v>
      </c>
      <c r="L694" s="205">
        <v>996272.39367703581</v>
      </c>
      <c r="M694" s="206">
        <v>0.84391795967299355</v>
      </c>
    </row>
    <row r="695" spans="11:13" x14ac:dyDescent="0.3">
      <c r="K695" s="204">
        <v>663</v>
      </c>
      <c r="L695" s="205">
        <v>267530.3259684206</v>
      </c>
      <c r="M695" s="206">
        <v>0.55727287999629804</v>
      </c>
    </row>
    <row r="696" spans="11:13" x14ac:dyDescent="0.3">
      <c r="K696" s="204">
        <v>664</v>
      </c>
      <c r="L696" s="205">
        <v>105559.19520311942</v>
      </c>
      <c r="M696" s="206">
        <v>0.49420563428031894</v>
      </c>
    </row>
    <row r="697" spans="11:13" x14ac:dyDescent="0.3">
      <c r="K697" s="204">
        <v>665</v>
      </c>
      <c r="L697" s="205">
        <v>248062.28118955297</v>
      </c>
      <c r="M697" s="206">
        <v>0.54884186506694577</v>
      </c>
    </row>
    <row r="698" spans="11:13" x14ac:dyDescent="0.3">
      <c r="K698" s="204">
        <v>666</v>
      </c>
      <c r="L698" s="205">
        <v>188168.14741248032</v>
      </c>
      <c r="M698" s="206">
        <v>0.53340459458326062</v>
      </c>
    </row>
    <row r="699" spans="11:13" x14ac:dyDescent="0.3">
      <c r="K699" s="204">
        <v>667</v>
      </c>
      <c r="L699" s="205">
        <v>397362.8041308336</v>
      </c>
      <c r="M699" s="206">
        <v>0.60520421917399858</v>
      </c>
    </row>
    <row r="700" spans="11:13" x14ac:dyDescent="0.3">
      <c r="K700" s="204">
        <v>668</v>
      </c>
      <c r="L700" s="205">
        <v>313919.29960850067</v>
      </c>
      <c r="M700" s="206">
        <v>0.5883981284937545</v>
      </c>
    </row>
    <row r="701" spans="11:13" x14ac:dyDescent="0.3">
      <c r="K701" s="204">
        <v>669</v>
      </c>
      <c r="L701" s="205">
        <v>517241.22628446249</v>
      </c>
      <c r="M701" s="206">
        <v>0.64728691527402771</v>
      </c>
    </row>
    <row r="702" spans="11:13" x14ac:dyDescent="0.3">
      <c r="K702" s="204">
        <v>670</v>
      </c>
      <c r="L702" s="205">
        <v>390817.13933230704</v>
      </c>
      <c r="M702" s="206">
        <v>0.59433674184125729</v>
      </c>
    </row>
    <row r="703" spans="11:13" x14ac:dyDescent="0.3">
      <c r="K703" s="204">
        <v>671</v>
      </c>
      <c r="L703" s="205">
        <v>664490.67473002756</v>
      </c>
      <c r="M703" s="206">
        <v>0.70370090846230848</v>
      </c>
    </row>
    <row r="704" spans="11:13" x14ac:dyDescent="0.3">
      <c r="K704" s="204">
        <v>672</v>
      </c>
      <c r="L704" s="205">
        <v>962025.78430632409</v>
      </c>
      <c r="M704" s="206">
        <v>0.77897891405435549</v>
      </c>
    </row>
    <row r="705" spans="11:13" x14ac:dyDescent="0.3">
      <c r="K705" s="204">
        <v>673</v>
      </c>
      <c r="L705" s="205">
        <v>349986.99001224432</v>
      </c>
      <c r="M705" s="206">
        <v>0.58718312760598912</v>
      </c>
    </row>
    <row r="706" spans="11:13" x14ac:dyDescent="0.3">
      <c r="K706" s="204">
        <v>674</v>
      </c>
      <c r="L706" s="205">
        <v>1192874.6903711651</v>
      </c>
      <c r="M706" s="206">
        <v>0.88882641734963475</v>
      </c>
    </row>
    <row r="707" spans="11:13" x14ac:dyDescent="0.3">
      <c r="K707" s="204">
        <v>675</v>
      </c>
      <c r="L707" s="205">
        <v>1116838.4755515661</v>
      </c>
      <c r="M707" s="206">
        <v>0.87939555850797158</v>
      </c>
    </row>
    <row r="708" spans="11:13" x14ac:dyDescent="0.3">
      <c r="K708" s="204">
        <v>676</v>
      </c>
      <c r="L708" s="205">
        <v>540954.8074991121</v>
      </c>
      <c r="M708" s="206">
        <v>0.64971467451798626</v>
      </c>
    </row>
    <row r="709" spans="11:13" x14ac:dyDescent="0.3">
      <c r="K709" s="204">
        <v>677</v>
      </c>
      <c r="L709" s="205">
        <v>1187918.6502372189</v>
      </c>
      <c r="M709" s="206">
        <v>0.91259546903940292</v>
      </c>
    </row>
    <row r="710" spans="11:13" x14ac:dyDescent="0.3">
      <c r="K710" s="204">
        <v>678</v>
      </c>
      <c r="L710" s="205">
        <v>684116.54287043074</v>
      </c>
      <c r="M710" s="206">
        <v>0.70848432128288552</v>
      </c>
    </row>
    <row r="711" spans="11:13" x14ac:dyDescent="0.3">
      <c r="K711" s="204">
        <v>679</v>
      </c>
      <c r="L711" s="205">
        <v>527290.94181762822</v>
      </c>
      <c r="M711" s="206">
        <v>0.6535735297764218</v>
      </c>
    </row>
    <row r="712" spans="11:13" x14ac:dyDescent="0.3">
      <c r="K712" s="204">
        <v>680</v>
      </c>
      <c r="L712" s="205">
        <v>395859.47520154854</v>
      </c>
      <c r="M712" s="206">
        <v>0.61054474444960971</v>
      </c>
    </row>
    <row r="713" spans="11:13" x14ac:dyDescent="0.3">
      <c r="K713" s="204">
        <v>681</v>
      </c>
      <c r="L713" s="205">
        <v>542859.60102066258</v>
      </c>
      <c r="M713" s="206">
        <v>0.64500961357479203</v>
      </c>
    </row>
    <row r="714" spans="11:13" x14ac:dyDescent="0.3">
      <c r="K714" s="204">
        <v>682</v>
      </c>
      <c r="L714" s="205">
        <v>477725.81288955361</v>
      </c>
      <c r="M714" s="206">
        <v>0.63741365921561832</v>
      </c>
    </row>
    <row r="715" spans="11:13" x14ac:dyDescent="0.3">
      <c r="K715" s="204">
        <v>683</v>
      </c>
      <c r="L715" s="205">
        <v>381713.84646571055</v>
      </c>
      <c r="M715" s="206">
        <v>0.59862737655557252</v>
      </c>
    </row>
    <row r="716" spans="11:13" x14ac:dyDescent="0.3">
      <c r="K716" s="204">
        <v>684</v>
      </c>
      <c r="L716" s="205">
        <v>181192.02532947855</v>
      </c>
      <c r="M716" s="206">
        <v>0.53266037839607128</v>
      </c>
    </row>
    <row r="717" spans="11:13" x14ac:dyDescent="0.3">
      <c r="K717" s="204">
        <v>685</v>
      </c>
      <c r="L717" s="205">
        <v>315974.32360252924</v>
      </c>
      <c r="M717" s="206">
        <v>0.57444057269863857</v>
      </c>
    </row>
    <row r="718" spans="11:13" x14ac:dyDescent="0.3">
      <c r="K718" s="204">
        <v>686</v>
      </c>
      <c r="L718" s="205">
        <v>-226816.85790661979</v>
      </c>
      <c r="M718" s="206">
        <v>0.37490542603922616</v>
      </c>
    </row>
    <row r="719" spans="11:13" x14ac:dyDescent="0.3">
      <c r="K719" s="204">
        <v>687</v>
      </c>
      <c r="L719" s="205">
        <v>641331.16293821437</v>
      </c>
      <c r="M719" s="206">
        <v>0.69566719579634118</v>
      </c>
    </row>
    <row r="720" spans="11:13" x14ac:dyDescent="0.3">
      <c r="K720" s="204">
        <v>688</v>
      </c>
      <c r="L720" s="205">
        <v>99852.791432179511</v>
      </c>
      <c r="M720" s="206">
        <v>0.49264325372459128</v>
      </c>
    </row>
    <row r="721" spans="11:13" x14ac:dyDescent="0.3">
      <c r="K721" s="204">
        <v>689</v>
      </c>
      <c r="L721" s="205">
        <v>588274.6576123694</v>
      </c>
      <c r="M721" s="206">
        <v>0.68429356905929484</v>
      </c>
    </row>
    <row r="722" spans="11:13" x14ac:dyDescent="0.3">
      <c r="K722" s="204">
        <v>690</v>
      </c>
      <c r="L722" s="205">
        <v>956310.65424692538</v>
      </c>
      <c r="M722" s="206">
        <v>0.79786324130716046</v>
      </c>
    </row>
    <row r="723" spans="11:13" x14ac:dyDescent="0.3">
      <c r="K723" s="204">
        <v>691</v>
      </c>
      <c r="L723" s="205">
        <v>1090658.3877034183</v>
      </c>
      <c r="M723" s="206">
        <v>0.86940436226579987</v>
      </c>
    </row>
    <row r="724" spans="11:13" x14ac:dyDescent="0.3">
      <c r="K724" s="204">
        <v>692</v>
      </c>
      <c r="L724" s="205">
        <v>740386.17772741057</v>
      </c>
      <c r="M724" s="206">
        <v>0.72393530474140677</v>
      </c>
    </row>
    <row r="725" spans="11:13" x14ac:dyDescent="0.3">
      <c r="K725" s="204">
        <v>693</v>
      </c>
      <c r="L725" s="205">
        <v>856218.38948351424</v>
      </c>
      <c r="M725" s="206">
        <v>0.76328395233462509</v>
      </c>
    </row>
    <row r="726" spans="11:13" x14ac:dyDescent="0.3">
      <c r="K726" s="204">
        <v>694</v>
      </c>
      <c r="L726" s="205">
        <v>365300.65035141725</v>
      </c>
      <c r="M726" s="206">
        <v>0.59618626100703809</v>
      </c>
    </row>
    <row r="727" spans="11:13" x14ac:dyDescent="0.3">
      <c r="K727" s="204">
        <v>695</v>
      </c>
      <c r="L727" s="205">
        <v>273511.95124054048</v>
      </c>
      <c r="M727" s="206">
        <v>0.55470469509524589</v>
      </c>
    </row>
    <row r="728" spans="11:13" x14ac:dyDescent="0.3">
      <c r="K728" s="204">
        <v>696</v>
      </c>
      <c r="L728" s="205">
        <v>1050844.2769182869</v>
      </c>
      <c r="M728" s="206">
        <v>0.85832868204259527</v>
      </c>
    </row>
    <row r="729" spans="11:13" x14ac:dyDescent="0.3">
      <c r="K729" s="204">
        <v>697</v>
      </c>
      <c r="L729" s="205">
        <v>827883.37277164916</v>
      </c>
      <c r="M729" s="206">
        <v>0.77694258233106872</v>
      </c>
    </row>
    <row r="730" spans="11:13" x14ac:dyDescent="0.3">
      <c r="K730" s="204">
        <v>698</v>
      </c>
      <c r="L730" s="205">
        <v>684889.45056884829</v>
      </c>
      <c r="M730" s="206">
        <v>0.70630648174227328</v>
      </c>
    </row>
    <row r="731" spans="11:13" x14ac:dyDescent="0.3">
      <c r="K731" s="204">
        <v>699</v>
      </c>
      <c r="L731" s="205">
        <v>760864.99515666114</v>
      </c>
      <c r="M731" s="206">
        <v>0.72770805424857921</v>
      </c>
    </row>
    <row r="732" spans="11:13" x14ac:dyDescent="0.3">
      <c r="K732" s="204">
        <v>700</v>
      </c>
      <c r="L732" s="205">
        <v>817442.55523851654</v>
      </c>
      <c r="M732" s="206">
        <v>0.78344125895025529</v>
      </c>
    </row>
    <row r="733" spans="11:13" x14ac:dyDescent="0.3">
      <c r="K733" s="204">
        <v>701</v>
      </c>
      <c r="L733" s="205">
        <v>40875.050180466846</v>
      </c>
      <c r="M733" s="206">
        <v>0.47270897703631021</v>
      </c>
    </row>
    <row r="734" spans="11:13" x14ac:dyDescent="0.3">
      <c r="K734" s="204">
        <v>702</v>
      </c>
      <c r="L734" s="205">
        <v>210265.53891437501</v>
      </c>
      <c r="M734" s="206">
        <v>0.53848217023928147</v>
      </c>
    </row>
    <row r="735" spans="11:13" x14ac:dyDescent="0.3">
      <c r="K735" s="204">
        <v>703</v>
      </c>
      <c r="L735" s="205">
        <v>1227473.7100569066</v>
      </c>
      <c r="M735" s="206">
        <v>0.92382089544723978</v>
      </c>
    </row>
    <row r="736" spans="11:13" x14ac:dyDescent="0.3">
      <c r="K736" s="204">
        <v>704</v>
      </c>
      <c r="L736" s="205">
        <v>252893.99710737215</v>
      </c>
      <c r="M736" s="206">
        <v>0.54992744840034713</v>
      </c>
    </row>
    <row r="737" spans="11:13" x14ac:dyDescent="0.3">
      <c r="K737" s="204">
        <v>705</v>
      </c>
      <c r="L737" s="205">
        <v>1318132.7554494869</v>
      </c>
      <c r="M737" s="206">
        <v>0.93058299515824716</v>
      </c>
    </row>
    <row r="738" spans="11:13" x14ac:dyDescent="0.3">
      <c r="K738" s="204">
        <v>706</v>
      </c>
      <c r="L738" s="205">
        <v>1183021.8502472951</v>
      </c>
      <c r="M738" s="206">
        <v>0.88524080647879599</v>
      </c>
    </row>
    <row r="739" spans="11:13" x14ac:dyDescent="0.3">
      <c r="K739" s="204">
        <v>707</v>
      </c>
      <c r="L739" s="205">
        <v>795148.4038850246</v>
      </c>
      <c r="M739" s="206">
        <v>0.78353535132713081</v>
      </c>
    </row>
    <row r="740" spans="11:13" x14ac:dyDescent="0.3">
      <c r="K740" s="204">
        <v>708</v>
      </c>
      <c r="L740" s="205">
        <v>488101.28211196978</v>
      </c>
      <c r="M740" s="206">
        <v>0.63495695918922279</v>
      </c>
    </row>
    <row r="741" spans="11:13" x14ac:dyDescent="0.3">
      <c r="K741" s="204">
        <v>709</v>
      </c>
      <c r="L741" s="205">
        <v>371972.6562169292</v>
      </c>
      <c r="M741" s="206">
        <v>0.58985345878295359</v>
      </c>
    </row>
    <row r="742" spans="11:13" x14ac:dyDescent="0.3">
      <c r="K742" s="204">
        <v>710</v>
      </c>
      <c r="L742" s="205">
        <v>241449.49314433802</v>
      </c>
      <c r="M742" s="206">
        <v>0.5439377461668371</v>
      </c>
    </row>
    <row r="743" spans="11:13" x14ac:dyDescent="0.3">
      <c r="K743" s="204">
        <v>711</v>
      </c>
      <c r="L743" s="205">
        <v>640497.78340421477</v>
      </c>
      <c r="M743" s="206">
        <v>0.69341771801737595</v>
      </c>
    </row>
    <row r="744" spans="11:13" x14ac:dyDescent="0.3">
      <c r="K744" s="204">
        <v>712</v>
      </c>
      <c r="L744" s="205">
        <v>397687.46090139728</v>
      </c>
      <c r="M744" s="206">
        <v>0.6124183488746695</v>
      </c>
    </row>
    <row r="745" spans="11:13" x14ac:dyDescent="0.3">
      <c r="K745" s="204">
        <v>713</v>
      </c>
      <c r="L745" s="205">
        <v>333292.87498596683</v>
      </c>
      <c r="M745" s="206">
        <v>0.58163518419511195</v>
      </c>
    </row>
    <row r="746" spans="11:13" x14ac:dyDescent="0.3">
      <c r="K746" s="204">
        <v>714</v>
      </c>
      <c r="L746" s="205">
        <v>245387.11195112113</v>
      </c>
      <c r="M746" s="206">
        <v>0.54441663657821437</v>
      </c>
    </row>
    <row r="747" spans="11:13" x14ac:dyDescent="0.3">
      <c r="K747" s="204">
        <v>715</v>
      </c>
      <c r="L747" s="205">
        <v>953229.0082225753</v>
      </c>
      <c r="M747" s="206">
        <v>0.83206676900916676</v>
      </c>
    </row>
    <row r="748" spans="11:13" x14ac:dyDescent="0.3">
      <c r="K748" s="204">
        <v>716</v>
      </c>
      <c r="L748" s="205">
        <v>899666.99206836103</v>
      </c>
      <c r="M748" s="206">
        <v>0.77892948540013851</v>
      </c>
    </row>
    <row r="749" spans="11:13" x14ac:dyDescent="0.3">
      <c r="K749" s="204">
        <v>717</v>
      </c>
      <c r="L749" s="205">
        <v>1316305.3561992939</v>
      </c>
      <c r="M749" s="206">
        <v>0.98657557409652785</v>
      </c>
    </row>
    <row r="750" spans="11:13" x14ac:dyDescent="0.3">
      <c r="K750" s="204">
        <v>718</v>
      </c>
      <c r="L750" s="205">
        <v>565158.08187921438</v>
      </c>
      <c r="M750" s="206">
        <v>0.69621229270803431</v>
      </c>
    </row>
    <row r="751" spans="11:13" x14ac:dyDescent="0.3">
      <c r="K751" s="204">
        <v>719</v>
      </c>
      <c r="L751" s="205">
        <v>535035.4021375617</v>
      </c>
      <c r="M751" s="206">
        <v>0.64777652010344666</v>
      </c>
    </row>
    <row r="752" spans="11:13" x14ac:dyDescent="0.3">
      <c r="K752" s="204">
        <v>720</v>
      </c>
      <c r="L752" s="205">
        <v>502080.4618510697</v>
      </c>
      <c r="M752" s="206">
        <v>0.6422788927915275</v>
      </c>
    </row>
    <row r="753" spans="11:13" x14ac:dyDescent="0.3">
      <c r="K753" s="204">
        <v>721</v>
      </c>
      <c r="L753" s="205">
        <v>714117.3831880982</v>
      </c>
      <c r="M753" s="206">
        <v>0.72131138057920996</v>
      </c>
    </row>
    <row r="754" spans="11:13" x14ac:dyDescent="0.3">
      <c r="K754" s="204">
        <v>722</v>
      </c>
      <c r="L754" s="205">
        <v>-90188.874969844939</v>
      </c>
      <c r="M754" s="206">
        <v>0.42651342290911964</v>
      </c>
    </row>
    <row r="755" spans="11:13" x14ac:dyDescent="0.3">
      <c r="K755" s="204">
        <v>723</v>
      </c>
      <c r="L755" s="205">
        <v>701284.02062703995</v>
      </c>
      <c r="M755" s="206">
        <v>0.7335882345233391</v>
      </c>
    </row>
    <row r="756" spans="11:13" x14ac:dyDescent="0.3">
      <c r="K756" s="204">
        <v>724</v>
      </c>
      <c r="L756" s="205">
        <v>359926.67310995096</v>
      </c>
      <c r="M756" s="206">
        <v>0.59382132511890107</v>
      </c>
    </row>
    <row r="757" spans="11:13" x14ac:dyDescent="0.3">
      <c r="K757" s="204">
        <v>725</v>
      </c>
      <c r="L757" s="205">
        <v>804460.3186079124</v>
      </c>
      <c r="M757" s="206">
        <v>0.77987808622202293</v>
      </c>
    </row>
    <row r="758" spans="11:13" x14ac:dyDescent="0.3">
      <c r="K758" s="204">
        <v>726</v>
      </c>
      <c r="L758" s="205">
        <v>548726.88447148772</v>
      </c>
      <c r="M758" s="206">
        <v>0.67837437038700621</v>
      </c>
    </row>
    <row r="759" spans="11:13" x14ac:dyDescent="0.3">
      <c r="K759" s="204">
        <v>727</v>
      </c>
      <c r="L759" s="205">
        <v>748944.16750644892</v>
      </c>
      <c r="M759" s="206">
        <v>0.73605140939652647</v>
      </c>
    </row>
    <row r="760" spans="11:13" x14ac:dyDescent="0.3">
      <c r="K760" s="204">
        <v>728</v>
      </c>
      <c r="L760" s="205">
        <v>632483.53173920931</v>
      </c>
      <c r="M760" s="206">
        <v>0.69276650179774091</v>
      </c>
    </row>
    <row r="761" spans="11:13" x14ac:dyDescent="0.3">
      <c r="K761" s="204">
        <v>729</v>
      </c>
      <c r="L761" s="205">
        <v>489702.91656838171</v>
      </c>
      <c r="M761" s="206">
        <v>0.64116228723851387</v>
      </c>
    </row>
    <row r="762" spans="11:13" x14ac:dyDescent="0.3">
      <c r="K762" s="204">
        <v>730</v>
      </c>
      <c r="L762" s="205">
        <v>-134412.64961593552</v>
      </c>
      <c r="M762" s="206">
        <v>0.40895574821770952</v>
      </c>
    </row>
    <row r="763" spans="11:13" x14ac:dyDescent="0.3">
      <c r="K763" s="204">
        <v>731</v>
      </c>
      <c r="L763" s="205">
        <v>369116.46323545603</v>
      </c>
      <c r="M763" s="206">
        <v>0.59504320478515127</v>
      </c>
    </row>
    <row r="764" spans="11:13" x14ac:dyDescent="0.3">
      <c r="K764" s="204">
        <v>732</v>
      </c>
      <c r="L764" s="205">
        <v>432223.83131466899</v>
      </c>
      <c r="M764" s="206">
        <v>0.62233732739158065</v>
      </c>
    </row>
    <row r="765" spans="11:13" x14ac:dyDescent="0.3">
      <c r="K765" s="204">
        <v>733</v>
      </c>
      <c r="L765" s="205">
        <v>312082.56403584825</v>
      </c>
      <c r="M765" s="206">
        <v>0.57095186027332545</v>
      </c>
    </row>
    <row r="766" spans="11:13" x14ac:dyDescent="0.3">
      <c r="K766" s="204">
        <v>734</v>
      </c>
      <c r="L766" s="205">
        <v>978899.85424808739</v>
      </c>
      <c r="M766" s="206">
        <v>0.79805290188183609</v>
      </c>
    </row>
    <row r="767" spans="11:13" x14ac:dyDescent="0.3">
      <c r="K767" s="204">
        <v>735</v>
      </c>
      <c r="L767" s="205">
        <v>560653.00519494666</v>
      </c>
      <c r="M767" s="206">
        <v>0.65093241431789672</v>
      </c>
    </row>
    <row r="768" spans="11:13" x14ac:dyDescent="0.3">
      <c r="K768" s="204">
        <v>736</v>
      </c>
      <c r="L768" s="205">
        <v>417837.20204097033</v>
      </c>
      <c r="M768" s="206">
        <v>0.61030673742911401</v>
      </c>
    </row>
    <row r="769" spans="11:13" x14ac:dyDescent="0.3">
      <c r="K769" s="204">
        <v>737</v>
      </c>
      <c r="L769" s="205">
        <v>843752.64764275821</v>
      </c>
      <c r="M769" s="206">
        <v>0.75073533720908059</v>
      </c>
    </row>
    <row r="770" spans="11:13" x14ac:dyDescent="0.3">
      <c r="K770" s="204">
        <v>738</v>
      </c>
      <c r="L770" s="205">
        <v>484043.19612226635</v>
      </c>
      <c r="M770" s="206">
        <v>0.64871083359171577</v>
      </c>
    </row>
    <row r="771" spans="11:13" x14ac:dyDescent="0.3">
      <c r="K771" s="204">
        <v>739</v>
      </c>
      <c r="L771" s="205">
        <v>1196683.4020665102</v>
      </c>
      <c r="M771" s="206">
        <v>0.86355375073568452</v>
      </c>
    </row>
    <row r="772" spans="11:13" x14ac:dyDescent="0.3">
      <c r="K772" s="204">
        <v>740</v>
      </c>
      <c r="L772" s="205">
        <v>827033.35901307175</v>
      </c>
      <c r="M772" s="206">
        <v>0.768361530950052</v>
      </c>
    </row>
    <row r="773" spans="11:13" x14ac:dyDescent="0.3">
      <c r="K773" s="204">
        <v>741</v>
      </c>
      <c r="L773" s="205">
        <v>511938.77519648382</v>
      </c>
      <c r="M773" s="206">
        <v>0.6483255068784608</v>
      </c>
    </row>
    <row r="774" spans="11:13" x14ac:dyDescent="0.3">
      <c r="K774" s="204">
        <v>742</v>
      </c>
      <c r="L774" s="205">
        <v>272260.85807969794</v>
      </c>
      <c r="M774" s="206">
        <v>0.55987133019987367</v>
      </c>
    </row>
    <row r="775" spans="11:13" x14ac:dyDescent="0.3">
      <c r="K775" s="204">
        <v>743</v>
      </c>
      <c r="L775" s="205">
        <v>367609.07495119702</v>
      </c>
      <c r="M775" s="206">
        <v>0.60651928285481937</v>
      </c>
    </row>
    <row r="776" spans="11:13" x14ac:dyDescent="0.3">
      <c r="K776" s="204">
        <v>744</v>
      </c>
      <c r="L776" s="205">
        <v>388134.34181310935</v>
      </c>
      <c r="M776" s="206">
        <v>0.61002421870859491</v>
      </c>
    </row>
    <row r="777" spans="11:13" x14ac:dyDescent="0.3">
      <c r="K777" s="204">
        <v>745</v>
      </c>
      <c r="L777" s="205">
        <v>853274.76226590294</v>
      </c>
      <c r="M777" s="206">
        <v>0.76068466771570487</v>
      </c>
    </row>
    <row r="778" spans="11:13" x14ac:dyDescent="0.3">
      <c r="K778" s="204">
        <v>746</v>
      </c>
      <c r="L778" s="205">
        <v>376537.05327412533</v>
      </c>
      <c r="M778" s="206">
        <v>0.60491095897594138</v>
      </c>
    </row>
    <row r="779" spans="11:13" x14ac:dyDescent="0.3">
      <c r="K779" s="204">
        <v>747</v>
      </c>
      <c r="L779" s="205">
        <v>709184.87832804583</v>
      </c>
      <c r="M779" s="206">
        <v>0.70311548929789613</v>
      </c>
    </row>
    <row r="780" spans="11:13" x14ac:dyDescent="0.3">
      <c r="K780" s="204">
        <v>748</v>
      </c>
      <c r="L780" s="205">
        <v>585054.2890523253</v>
      </c>
      <c r="M780" s="206">
        <v>0.67136643844232169</v>
      </c>
    </row>
    <row r="781" spans="11:13" x14ac:dyDescent="0.3">
      <c r="K781" s="204">
        <v>749</v>
      </c>
      <c r="L781" s="205">
        <v>477580.46601934033</v>
      </c>
      <c r="M781" s="206">
        <v>0.63752503753898604</v>
      </c>
    </row>
    <row r="782" spans="11:13" x14ac:dyDescent="0.3">
      <c r="K782" s="204">
        <v>750</v>
      </c>
      <c r="L782" s="205">
        <v>1044784.3099970645</v>
      </c>
      <c r="M782" s="206">
        <v>0.86686714744162185</v>
      </c>
    </row>
    <row r="783" spans="11:13" x14ac:dyDescent="0.3">
      <c r="K783" s="204">
        <v>751</v>
      </c>
      <c r="L783" s="205">
        <v>876627.92788509466</v>
      </c>
      <c r="M783" s="206">
        <v>0.76676110117750418</v>
      </c>
    </row>
    <row r="784" spans="11:13" x14ac:dyDescent="0.3">
      <c r="K784" s="204">
        <v>752</v>
      </c>
      <c r="L784" s="205">
        <v>174298.53650170937</v>
      </c>
      <c r="M784" s="206">
        <v>0.52334942043697508</v>
      </c>
    </row>
    <row r="785" spans="11:13" x14ac:dyDescent="0.3">
      <c r="K785" s="204">
        <v>753</v>
      </c>
      <c r="L785" s="205">
        <v>737374.48236495908</v>
      </c>
      <c r="M785" s="206">
        <v>0.7207686681298684</v>
      </c>
    </row>
    <row r="786" spans="11:13" x14ac:dyDescent="0.3">
      <c r="K786" s="204">
        <v>754</v>
      </c>
      <c r="L786" s="205">
        <v>805854.19166435115</v>
      </c>
      <c r="M786" s="206">
        <v>0.7448744321160099</v>
      </c>
    </row>
    <row r="787" spans="11:13" x14ac:dyDescent="0.3">
      <c r="K787" s="204">
        <v>755</v>
      </c>
      <c r="L787" s="205">
        <v>607261.29960401123</v>
      </c>
      <c r="M787" s="206">
        <v>0.69264063414992827</v>
      </c>
    </row>
    <row r="788" spans="11:13" x14ac:dyDescent="0.3">
      <c r="K788" s="204">
        <v>756</v>
      </c>
      <c r="L788" s="205">
        <v>696790.10620792676</v>
      </c>
      <c r="M788" s="206">
        <v>0.72305086742185076</v>
      </c>
    </row>
    <row r="789" spans="11:13" x14ac:dyDescent="0.3">
      <c r="K789" s="204">
        <v>757</v>
      </c>
      <c r="L789" s="205">
        <v>590775.80221431889</v>
      </c>
      <c r="M789" s="206">
        <v>0.66869342746220917</v>
      </c>
    </row>
    <row r="790" spans="11:13" x14ac:dyDescent="0.3">
      <c r="K790" s="204">
        <v>758</v>
      </c>
      <c r="L790" s="205">
        <v>842230.27058331016</v>
      </c>
      <c r="M790" s="206">
        <v>0.76970182046882596</v>
      </c>
    </row>
    <row r="791" spans="11:13" x14ac:dyDescent="0.3">
      <c r="K791" s="204">
        <v>759</v>
      </c>
      <c r="L791" s="205">
        <v>649330.43257458461</v>
      </c>
      <c r="M791" s="206">
        <v>0.68099999047733761</v>
      </c>
    </row>
    <row r="792" spans="11:13" x14ac:dyDescent="0.3">
      <c r="K792" s="204">
        <v>760</v>
      </c>
      <c r="L792" s="205">
        <v>490241.59625932155</v>
      </c>
      <c r="M792" s="206">
        <v>0.63076356670107714</v>
      </c>
    </row>
    <row r="793" spans="11:13" x14ac:dyDescent="0.3">
      <c r="K793" s="204">
        <v>761</v>
      </c>
      <c r="L793" s="205">
        <v>598785.88833452994</v>
      </c>
      <c r="M793" s="206">
        <v>0.66837700692081548</v>
      </c>
    </row>
    <row r="794" spans="11:13" x14ac:dyDescent="0.3">
      <c r="K794" s="204">
        <v>762</v>
      </c>
      <c r="L794" s="205">
        <v>429482.40248143347</v>
      </c>
      <c r="M794" s="206">
        <v>0.62129027423633398</v>
      </c>
    </row>
    <row r="795" spans="11:13" x14ac:dyDescent="0.3">
      <c r="K795" s="204">
        <v>763</v>
      </c>
      <c r="L795" s="205">
        <v>594230.09881726466</v>
      </c>
      <c r="M795" s="206">
        <v>0.67824530473899558</v>
      </c>
    </row>
    <row r="796" spans="11:13" x14ac:dyDescent="0.3">
      <c r="K796" s="204">
        <v>764</v>
      </c>
      <c r="L796" s="205">
        <v>632140.6835809378</v>
      </c>
      <c r="M796" s="206">
        <v>0.70623677900345716</v>
      </c>
    </row>
    <row r="797" spans="11:13" x14ac:dyDescent="0.3">
      <c r="K797" s="204">
        <v>765</v>
      </c>
      <c r="L797" s="205">
        <v>366837.53219153453</v>
      </c>
      <c r="M797" s="206">
        <v>0.59602421662402727</v>
      </c>
    </row>
    <row r="798" spans="11:13" x14ac:dyDescent="0.3">
      <c r="K798" s="204">
        <v>766</v>
      </c>
      <c r="L798" s="205">
        <v>32707.103241967037</v>
      </c>
      <c r="M798" s="206">
        <v>0.47081938705472814</v>
      </c>
    </row>
    <row r="799" spans="11:13" x14ac:dyDescent="0.3">
      <c r="K799" s="204">
        <v>767</v>
      </c>
      <c r="L799" s="205">
        <v>1256366.1587151089</v>
      </c>
      <c r="M799" s="206">
        <v>0.92472318757215399</v>
      </c>
    </row>
    <row r="800" spans="11:13" x14ac:dyDescent="0.3">
      <c r="K800" s="204">
        <v>768</v>
      </c>
      <c r="L800" s="205">
        <v>660777.8242573929</v>
      </c>
      <c r="M800" s="206">
        <v>0.71262362929754008</v>
      </c>
    </row>
    <row r="801" spans="11:13" x14ac:dyDescent="0.3">
      <c r="K801" s="204">
        <v>769</v>
      </c>
      <c r="L801" s="205">
        <v>568954.2077604956</v>
      </c>
      <c r="M801" s="206">
        <v>0.6740639173815246</v>
      </c>
    </row>
    <row r="802" spans="11:13" x14ac:dyDescent="0.3">
      <c r="K802" s="204">
        <v>770</v>
      </c>
      <c r="L802" s="205">
        <v>415855.23764180345</v>
      </c>
      <c r="M802" s="206">
        <v>0.60461139658367702</v>
      </c>
    </row>
    <row r="803" spans="11:13" x14ac:dyDescent="0.3">
      <c r="K803" s="204">
        <v>771</v>
      </c>
      <c r="L803" s="205">
        <v>725378.1291258866</v>
      </c>
      <c r="M803" s="206">
        <v>0.72751928858268333</v>
      </c>
    </row>
    <row r="804" spans="11:13" x14ac:dyDescent="0.3">
      <c r="K804" s="204">
        <v>772</v>
      </c>
      <c r="L804" s="205">
        <v>1030493.6504402212</v>
      </c>
      <c r="M804" s="206">
        <v>0.85856230196237138</v>
      </c>
    </row>
    <row r="805" spans="11:13" x14ac:dyDescent="0.3">
      <c r="K805" s="204">
        <v>773</v>
      </c>
      <c r="L805" s="205">
        <v>733984.73909051251</v>
      </c>
      <c r="M805" s="206">
        <v>0.75473632113331646</v>
      </c>
    </row>
    <row r="806" spans="11:13" x14ac:dyDescent="0.3">
      <c r="K806" s="204">
        <v>774</v>
      </c>
      <c r="L806" s="205">
        <v>1224818.9747215449</v>
      </c>
      <c r="M806" s="206">
        <v>0.91698678662341004</v>
      </c>
    </row>
    <row r="807" spans="11:13" x14ac:dyDescent="0.3">
      <c r="K807" s="204">
        <v>775</v>
      </c>
      <c r="L807" s="205">
        <v>610355.10233998997</v>
      </c>
      <c r="M807" s="206">
        <v>0.68950445115865011</v>
      </c>
    </row>
    <row r="808" spans="11:13" x14ac:dyDescent="0.3">
      <c r="K808" s="204">
        <v>776</v>
      </c>
      <c r="L808" s="205">
        <v>1064723.3540632934</v>
      </c>
      <c r="M808" s="206">
        <v>0.87640276890130342</v>
      </c>
    </row>
    <row r="809" spans="11:13" x14ac:dyDescent="0.3">
      <c r="K809" s="204">
        <v>777</v>
      </c>
      <c r="L809" s="205">
        <v>1030730.7790882778</v>
      </c>
      <c r="M809" s="206">
        <v>0.81727981799557825</v>
      </c>
    </row>
    <row r="810" spans="11:13" x14ac:dyDescent="0.3">
      <c r="K810" s="204">
        <v>778</v>
      </c>
      <c r="L810" s="205">
        <v>583700.35183086852</v>
      </c>
      <c r="M810" s="206">
        <v>0.66436198886859721</v>
      </c>
    </row>
    <row r="811" spans="11:13" x14ac:dyDescent="0.3">
      <c r="K811" s="204">
        <v>779</v>
      </c>
      <c r="L811" s="205">
        <v>308811.44631380914</v>
      </c>
      <c r="M811" s="206">
        <v>0.57864717807547095</v>
      </c>
    </row>
    <row r="812" spans="11:13" x14ac:dyDescent="0.3">
      <c r="K812" s="204">
        <v>780</v>
      </c>
      <c r="L812" s="205">
        <v>961895.85221718764</v>
      </c>
      <c r="M812" s="206">
        <v>0.81085039723842733</v>
      </c>
    </row>
    <row r="813" spans="11:13" x14ac:dyDescent="0.3">
      <c r="K813" s="204">
        <v>781</v>
      </c>
      <c r="L813" s="205">
        <v>792615.56485593272</v>
      </c>
      <c r="M813" s="206">
        <v>0.7395222783139106</v>
      </c>
    </row>
    <row r="814" spans="11:13" x14ac:dyDescent="0.3">
      <c r="K814" s="204">
        <v>782</v>
      </c>
      <c r="L814" s="205">
        <v>838781.28138903528</v>
      </c>
      <c r="M814" s="206">
        <v>0.76127910662184206</v>
      </c>
    </row>
    <row r="815" spans="11:13" x14ac:dyDescent="0.3">
      <c r="K815" s="204">
        <v>783</v>
      </c>
      <c r="L815" s="205">
        <v>434851.3654727973</v>
      </c>
      <c r="M815" s="206">
        <v>0.61608256159448316</v>
      </c>
    </row>
    <row r="816" spans="11:13" x14ac:dyDescent="0.3">
      <c r="K816" s="204">
        <v>784</v>
      </c>
      <c r="L816" s="205">
        <v>614866.15413490403</v>
      </c>
      <c r="M816" s="206">
        <v>0.6817609887941225</v>
      </c>
    </row>
    <row r="817" spans="11:13" x14ac:dyDescent="0.3">
      <c r="K817" s="204">
        <v>785</v>
      </c>
      <c r="L817" s="205">
        <v>394219.41767060477</v>
      </c>
      <c r="M817" s="206">
        <v>0.60487916563067734</v>
      </c>
    </row>
    <row r="818" spans="11:13" x14ac:dyDescent="0.3">
      <c r="K818" s="204">
        <v>786</v>
      </c>
      <c r="L818" s="205">
        <v>473986.93692102097</v>
      </c>
      <c r="M818" s="206">
        <v>0.63133534434409477</v>
      </c>
    </row>
    <row r="819" spans="11:13" x14ac:dyDescent="0.3">
      <c r="K819" s="204">
        <v>787</v>
      </c>
      <c r="L819" s="205">
        <v>228136.25247563142</v>
      </c>
      <c r="M819" s="206">
        <v>0.55213242675202667</v>
      </c>
    </row>
    <row r="820" spans="11:13" x14ac:dyDescent="0.3">
      <c r="K820" s="204">
        <v>788</v>
      </c>
      <c r="L820" s="205">
        <v>1099601.9335796265</v>
      </c>
      <c r="M820" s="206">
        <v>0.85112744890892444</v>
      </c>
    </row>
    <row r="821" spans="11:13" x14ac:dyDescent="0.3">
      <c r="K821" s="204">
        <v>789</v>
      </c>
      <c r="L821" s="205">
        <v>638665.75664525665</v>
      </c>
      <c r="M821" s="206">
        <v>0.69241356712042612</v>
      </c>
    </row>
    <row r="822" spans="11:13" x14ac:dyDescent="0.3">
      <c r="K822" s="204">
        <v>790</v>
      </c>
      <c r="L822" s="205">
        <v>683094.39795306884</v>
      </c>
      <c r="M822" s="206">
        <v>0.7041550532219325</v>
      </c>
    </row>
    <row r="823" spans="11:13" x14ac:dyDescent="0.3">
      <c r="K823" s="204">
        <v>791</v>
      </c>
      <c r="L823" s="205">
        <v>683627.28730139369</v>
      </c>
      <c r="M823" s="206">
        <v>0.70476387386607309</v>
      </c>
    </row>
    <row r="824" spans="11:13" x14ac:dyDescent="0.3">
      <c r="K824" s="204">
        <v>792</v>
      </c>
      <c r="L824" s="205">
        <v>105972.22525759647</v>
      </c>
      <c r="M824" s="206">
        <v>0.49450922854375223</v>
      </c>
    </row>
    <row r="825" spans="11:13" x14ac:dyDescent="0.3">
      <c r="K825" s="204">
        <v>793</v>
      </c>
      <c r="L825" s="205">
        <v>857993.31838117819</v>
      </c>
      <c r="M825" s="206">
        <v>0.79919290392390119</v>
      </c>
    </row>
    <row r="826" spans="11:13" x14ac:dyDescent="0.3">
      <c r="K826" s="204">
        <v>794</v>
      </c>
      <c r="L826" s="205">
        <v>571416.96973184031</v>
      </c>
      <c r="M826" s="206">
        <v>0.67215234398751478</v>
      </c>
    </row>
    <row r="827" spans="11:13" x14ac:dyDescent="0.3">
      <c r="K827" s="204">
        <v>795</v>
      </c>
      <c r="L827" s="205">
        <v>886384.20770271961</v>
      </c>
      <c r="M827" s="206">
        <v>0.78311739704729155</v>
      </c>
    </row>
    <row r="828" spans="11:13" x14ac:dyDescent="0.3">
      <c r="K828" s="204">
        <v>796</v>
      </c>
      <c r="L828" s="205">
        <v>426906.77719642268</v>
      </c>
      <c r="M828" s="206">
        <v>0.61482715712448988</v>
      </c>
    </row>
    <row r="829" spans="11:13" x14ac:dyDescent="0.3">
      <c r="K829" s="204">
        <v>797</v>
      </c>
      <c r="L829" s="205">
        <v>380202.34425671212</v>
      </c>
      <c r="M829" s="206">
        <v>0.58518529764813132</v>
      </c>
    </row>
    <row r="830" spans="11:13" x14ac:dyDescent="0.3">
      <c r="K830" s="204">
        <v>798</v>
      </c>
      <c r="L830" s="205">
        <v>227408.81265217019</v>
      </c>
      <c r="M830" s="206">
        <v>0.53803375374302398</v>
      </c>
    </row>
    <row r="831" spans="11:13" x14ac:dyDescent="0.3">
      <c r="K831" s="204">
        <v>799</v>
      </c>
      <c r="L831" s="205">
        <v>768803.5001955945</v>
      </c>
      <c r="M831" s="206">
        <v>0.76148976633977705</v>
      </c>
    </row>
    <row r="832" spans="11:13" x14ac:dyDescent="0.3">
      <c r="K832" s="204">
        <v>800</v>
      </c>
      <c r="L832" s="205">
        <v>683201.02602965944</v>
      </c>
      <c r="M832" s="206">
        <v>0.69056921963159712</v>
      </c>
    </row>
    <row r="833" spans="11:13" x14ac:dyDescent="0.3">
      <c r="K833" s="204">
        <v>801</v>
      </c>
      <c r="L833" s="205">
        <v>490233.83669229178</v>
      </c>
      <c r="M833" s="206">
        <v>0.63776765358575571</v>
      </c>
    </row>
    <row r="834" spans="11:13" x14ac:dyDescent="0.3">
      <c r="K834" s="204">
        <v>802</v>
      </c>
      <c r="L834" s="205">
        <v>846895.89740868425</v>
      </c>
      <c r="M834" s="206">
        <v>0.78641954426965333</v>
      </c>
    </row>
    <row r="835" spans="11:13" x14ac:dyDescent="0.3">
      <c r="K835" s="204">
        <v>803</v>
      </c>
      <c r="L835" s="205">
        <v>390071.90272949589</v>
      </c>
      <c r="M835" s="206">
        <v>0.59352355689600067</v>
      </c>
    </row>
    <row r="836" spans="11:13" x14ac:dyDescent="0.3">
      <c r="K836" s="204">
        <v>804</v>
      </c>
      <c r="L836" s="205">
        <v>753460.03107885364</v>
      </c>
      <c r="M836" s="206">
        <v>0.73324081026111165</v>
      </c>
    </row>
    <row r="837" spans="11:13" x14ac:dyDescent="0.3">
      <c r="K837" s="204">
        <v>805</v>
      </c>
      <c r="L837" s="205">
        <v>640675.25560645713</v>
      </c>
      <c r="M837" s="206">
        <v>0.6982362772978028</v>
      </c>
    </row>
    <row r="838" spans="11:13" x14ac:dyDescent="0.3">
      <c r="K838" s="204">
        <v>806</v>
      </c>
      <c r="L838" s="205">
        <v>596990.03505539615</v>
      </c>
      <c r="M838" s="206">
        <v>0.69110028908651833</v>
      </c>
    </row>
    <row r="839" spans="11:13" x14ac:dyDescent="0.3">
      <c r="K839" s="204">
        <v>807</v>
      </c>
      <c r="L839" s="205">
        <v>292312.21118332259</v>
      </c>
      <c r="M839" s="206">
        <v>0.55699874972778196</v>
      </c>
    </row>
    <row r="840" spans="11:13" x14ac:dyDescent="0.3">
      <c r="K840" s="204">
        <v>808</v>
      </c>
      <c r="L840" s="205">
        <v>1176444.1188699435</v>
      </c>
      <c r="M840" s="206">
        <v>0.90729075458480457</v>
      </c>
    </row>
    <row r="841" spans="11:13" x14ac:dyDescent="0.3">
      <c r="K841" s="204">
        <v>809</v>
      </c>
      <c r="L841" s="205">
        <v>930834.17719735112</v>
      </c>
      <c r="M841" s="206">
        <v>0.82501453026079075</v>
      </c>
    </row>
    <row r="842" spans="11:13" x14ac:dyDescent="0.3">
      <c r="K842" s="204">
        <v>810</v>
      </c>
      <c r="L842" s="205">
        <v>485646.38188530644</v>
      </c>
      <c r="M842" s="206">
        <v>0.64472667435750819</v>
      </c>
    </row>
    <row r="843" spans="11:13" x14ac:dyDescent="0.3">
      <c r="K843" s="204">
        <v>811</v>
      </c>
      <c r="L843" s="205">
        <v>427798.57558404235</v>
      </c>
      <c r="M843" s="206">
        <v>0.62908903086312695</v>
      </c>
    </row>
    <row r="844" spans="11:13" x14ac:dyDescent="0.3">
      <c r="K844" s="204">
        <v>812</v>
      </c>
      <c r="L844" s="205">
        <v>304675.85761384154</v>
      </c>
      <c r="M844" s="206">
        <v>0.56263487229499587</v>
      </c>
    </row>
    <row r="845" spans="11:13" x14ac:dyDescent="0.3">
      <c r="K845" s="204">
        <v>813</v>
      </c>
      <c r="L845" s="205">
        <v>292487.88307924196</v>
      </c>
      <c r="M845" s="206">
        <v>0.56731084608312576</v>
      </c>
    </row>
    <row r="846" spans="11:13" x14ac:dyDescent="0.3">
      <c r="K846" s="204">
        <v>814</v>
      </c>
      <c r="L846" s="205">
        <v>350578.92712521646</v>
      </c>
      <c r="M846" s="206">
        <v>0.598461076608783</v>
      </c>
    </row>
    <row r="847" spans="11:13" x14ac:dyDescent="0.3">
      <c r="K847" s="204">
        <v>815</v>
      </c>
      <c r="L847" s="205">
        <v>179914.27641347423</v>
      </c>
      <c r="M847" s="206">
        <v>0.53218656790412489</v>
      </c>
    </row>
    <row r="848" spans="11:13" x14ac:dyDescent="0.3">
      <c r="K848" s="204">
        <v>816</v>
      </c>
      <c r="L848" s="205">
        <v>561871.30028091837</v>
      </c>
      <c r="M848" s="206">
        <v>0.67616773354238413</v>
      </c>
    </row>
    <row r="849" spans="11:13" x14ac:dyDescent="0.3">
      <c r="K849" s="204">
        <v>817</v>
      </c>
      <c r="L849" s="205">
        <v>799358.07249729801</v>
      </c>
      <c r="M849" s="206">
        <v>0.77979825287450266</v>
      </c>
    </row>
    <row r="850" spans="11:13" x14ac:dyDescent="0.3">
      <c r="K850" s="204">
        <v>818</v>
      </c>
      <c r="L850" s="205">
        <v>659842.61296759034</v>
      </c>
      <c r="M850" s="206">
        <v>0.70969362569222083</v>
      </c>
    </row>
    <row r="851" spans="11:13" x14ac:dyDescent="0.3">
      <c r="K851" s="204">
        <v>819</v>
      </c>
      <c r="L851" s="205">
        <v>944729.15087548504</v>
      </c>
      <c r="M851" s="206">
        <v>0.84192347718484806</v>
      </c>
    </row>
    <row r="852" spans="11:13" x14ac:dyDescent="0.3">
      <c r="K852" s="204">
        <v>820</v>
      </c>
      <c r="L852" s="205">
        <v>708427.09477493074</v>
      </c>
      <c r="M852" s="206">
        <v>0.75047878177471761</v>
      </c>
    </row>
    <row r="853" spans="11:13" x14ac:dyDescent="0.3">
      <c r="K853" s="204">
        <v>821</v>
      </c>
      <c r="L853" s="205">
        <v>1115410.9166630404</v>
      </c>
      <c r="M853" s="206">
        <v>0.87639382939265054</v>
      </c>
    </row>
    <row r="854" spans="11:13" x14ac:dyDescent="0.3">
      <c r="K854" s="204">
        <v>822</v>
      </c>
      <c r="L854" s="205">
        <v>888550.98639013898</v>
      </c>
      <c r="M854" s="206">
        <v>0.80456874893304042</v>
      </c>
    </row>
    <row r="855" spans="11:13" x14ac:dyDescent="0.3">
      <c r="K855" s="204">
        <v>823</v>
      </c>
      <c r="L855" s="205">
        <v>526483.51315937471</v>
      </c>
      <c r="M855" s="206">
        <v>0.67509428939818372</v>
      </c>
    </row>
    <row r="856" spans="11:13" x14ac:dyDescent="0.3">
      <c r="K856" s="204">
        <v>824</v>
      </c>
      <c r="L856" s="205">
        <v>544616.42638458032</v>
      </c>
      <c r="M856" s="206">
        <v>0.68574838031686491</v>
      </c>
    </row>
    <row r="857" spans="11:13" x14ac:dyDescent="0.3">
      <c r="K857" s="204">
        <v>825</v>
      </c>
      <c r="L857" s="205">
        <v>970100.38036251254</v>
      </c>
      <c r="M857" s="206">
        <v>0.83580955152901226</v>
      </c>
    </row>
    <row r="858" spans="11:13" x14ac:dyDescent="0.3">
      <c r="K858" s="204">
        <v>826</v>
      </c>
      <c r="L858" s="205">
        <v>520066.27206594776</v>
      </c>
      <c r="M858" s="206">
        <v>0.66499613697136994</v>
      </c>
    </row>
    <row r="859" spans="11:13" x14ac:dyDescent="0.3">
      <c r="K859" s="204">
        <v>827</v>
      </c>
      <c r="L859" s="205">
        <v>957633.16928218678</v>
      </c>
      <c r="M859" s="206">
        <v>0.81486324775719465</v>
      </c>
    </row>
    <row r="860" spans="11:13" x14ac:dyDescent="0.3">
      <c r="K860" s="204">
        <v>828</v>
      </c>
      <c r="L860" s="205">
        <v>155182.13827196136</v>
      </c>
      <c r="M860" s="206">
        <v>0.51601783262389356</v>
      </c>
    </row>
    <row r="861" spans="11:13" x14ac:dyDescent="0.3">
      <c r="K861" s="204">
        <v>829</v>
      </c>
      <c r="L861" s="205">
        <v>491558.40353598539</v>
      </c>
      <c r="M861" s="206">
        <v>0.63991359618135912</v>
      </c>
    </row>
    <row r="862" spans="11:13" x14ac:dyDescent="0.3">
      <c r="K862" s="204">
        <v>830</v>
      </c>
      <c r="L862" s="205">
        <v>592480.74166226387</v>
      </c>
      <c r="M862" s="206">
        <v>0.68341821495875488</v>
      </c>
    </row>
    <row r="863" spans="11:13" x14ac:dyDescent="0.3">
      <c r="K863" s="204">
        <v>831</v>
      </c>
      <c r="L863" s="205">
        <v>936942.66114055831</v>
      </c>
      <c r="M863" s="206">
        <v>0.79358516838783832</v>
      </c>
    </row>
    <row r="864" spans="11:13" x14ac:dyDescent="0.3">
      <c r="K864" s="204">
        <v>832</v>
      </c>
      <c r="L864" s="205">
        <v>301722.89689118555</v>
      </c>
      <c r="M864" s="206">
        <v>0.56975779394200998</v>
      </c>
    </row>
    <row r="865" spans="11:13" x14ac:dyDescent="0.3">
      <c r="K865" s="204">
        <v>833</v>
      </c>
      <c r="L865" s="205">
        <v>449811.40398715809</v>
      </c>
      <c r="M865" s="206">
        <v>0.6325084715139051</v>
      </c>
    </row>
    <row r="866" spans="11:13" x14ac:dyDescent="0.3">
      <c r="K866" s="204">
        <v>834</v>
      </c>
      <c r="L866" s="205">
        <v>383880.9223631518</v>
      </c>
      <c r="M866" s="206">
        <v>0.59698170475822865</v>
      </c>
    </row>
    <row r="867" spans="11:13" x14ac:dyDescent="0.3">
      <c r="K867" s="204">
        <v>835</v>
      </c>
      <c r="L867" s="205">
        <v>528533.70492703374</v>
      </c>
      <c r="M867" s="206">
        <v>0.64919203911705203</v>
      </c>
    </row>
    <row r="868" spans="11:13" x14ac:dyDescent="0.3">
      <c r="K868" s="204">
        <v>836</v>
      </c>
      <c r="L868" s="205">
        <v>665205.54300809652</v>
      </c>
      <c r="M868" s="206">
        <v>0.71030888663335712</v>
      </c>
    </row>
    <row r="869" spans="11:13" x14ac:dyDescent="0.3">
      <c r="K869" s="204">
        <v>837</v>
      </c>
      <c r="L869" s="205">
        <v>249349.93736357894</v>
      </c>
      <c r="M869" s="206">
        <v>0.54649854624607519</v>
      </c>
    </row>
    <row r="870" spans="11:13" x14ac:dyDescent="0.3">
      <c r="K870" s="204">
        <v>838</v>
      </c>
      <c r="L870" s="205">
        <v>591878.13293134561</v>
      </c>
      <c r="M870" s="206">
        <v>0.67175897473303015</v>
      </c>
    </row>
    <row r="871" spans="11:13" x14ac:dyDescent="0.3">
      <c r="K871" s="204">
        <v>839</v>
      </c>
      <c r="L871" s="205">
        <v>581150.85302637611</v>
      </c>
      <c r="M871" s="206">
        <v>0.66808826115171316</v>
      </c>
    </row>
    <row r="872" spans="11:13" x14ac:dyDescent="0.3">
      <c r="K872" s="204">
        <v>840</v>
      </c>
      <c r="L872" s="205">
        <v>956480.49278004654</v>
      </c>
      <c r="M872" s="206">
        <v>0.82533735002229469</v>
      </c>
    </row>
    <row r="873" spans="11:13" x14ac:dyDescent="0.3">
      <c r="K873" s="204">
        <v>841</v>
      </c>
      <c r="L873" s="205">
        <v>1040293.7147816536</v>
      </c>
      <c r="M873" s="206">
        <v>0.85159043776556587</v>
      </c>
    </row>
    <row r="874" spans="11:13" x14ac:dyDescent="0.3">
      <c r="K874" s="204">
        <v>842</v>
      </c>
      <c r="L874" s="205">
        <v>789751.36457215762</v>
      </c>
      <c r="M874" s="206">
        <v>0.74961252741011775</v>
      </c>
    </row>
    <row r="875" spans="11:13" x14ac:dyDescent="0.3">
      <c r="K875" s="204">
        <v>843</v>
      </c>
      <c r="L875" s="205">
        <v>588680.98712973343</v>
      </c>
      <c r="M875" s="206">
        <v>0.69861224074698991</v>
      </c>
    </row>
    <row r="876" spans="11:13" x14ac:dyDescent="0.3">
      <c r="K876" s="204">
        <v>844</v>
      </c>
      <c r="L876" s="205">
        <v>260632.21097435616</v>
      </c>
      <c r="M876" s="206">
        <v>0.56005848952350212</v>
      </c>
    </row>
    <row r="877" spans="11:13" x14ac:dyDescent="0.3">
      <c r="K877" s="204">
        <v>845</v>
      </c>
      <c r="L877" s="205">
        <v>537952.6887219171</v>
      </c>
      <c r="M877" s="206">
        <v>0.65891336555927293</v>
      </c>
    </row>
    <row r="878" spans="11:13" x14ac:dyDescent="0.3">
      <c r="K878" s="204">
        <v>846</v>
      </c>
      <c r="L878" s="205">
        <v>497565.64352628263</v>
      </c>
      <c r="M878" s="206">
        <v>0.65571832312247302</v>
      </c>
    </row>
    <row r="879" spans="11:13" x14ac:dyDescent="0.3">
      <c r="K879" s="204">
        <v>847</v>
      </c>
      <c r="L879" s="205">
        <v>711386.89690265106</v>
      </c>
      <c r="M879" s="206">
        <v>0.71779469164518361</v>
      </c>
    </row>
    <row r="880" spans="11:13" x14ac:dyDescent="0.3">
      <c r="K880" s="204">
        <v>848</v>
      </c>
      <c r="L880" s="205">
        <v>218489.8670712295</v>
      </c>
      <c r="M880" s="206">
        <v>0.54172539057562719</v>
      </c>
    </row>
    <row r="881" spans="11:13" x14ac:dyDescent="0.3">
      <c r="K881" s="204">
        <v>849</v>
      </c>
      <c r="L881" s="205">
        <v>1425612.8714917791</v>
      </c>
      <c r="M881" s="206">
        <v>0.96588129300360248</v>
      </c>
    </row>
    <row r="882" spans="11:13" x14ac:dyDescent="0.3">
      <c r="K882" s="204">
        <v>850</v>
      </c>
      <c r="L882" s="205">
        <v>960512.09437215747</v>
      </c>
      <c r="M882" s="206">
        <v>0.81348232165152701</v>
      </c>
    </row>
    <row r="883" spans="11:13" x14ac:dyDescent="0.3">
      <c r="K883" s="204">
        <v>851</v>
      </c>
      <c r="L883" s="205">
        <v>886504.38502200926</v>
      </c>
      <c r="M883" s="206">
        <v>0.78012352426386911</v>
      </c>
    </row>
    <row r="884" spans="11:13" x14ac:dyDescent="0.3">
      <c r="K884" s="204">
        <v>852</v>
      </c>
      <c r="L884" s="205">
        <v>386402.54392133839</v>
      </c>
      <c r="M884" s="206">
        <v>0.59861030505067037</v>
      </c>
    </row>
    <row r="885" spans="11:13" x14ac:dyDescent="0.3">
      <c r="K885" s="204">
        <v>853</v>
      </c>
      <c r="L885" s="205">
        <v>149546.32288395008</v>
      </c>
      <c r="M885" s="206">
        <v>0.51013597874259475</v>
      </c>
    </row>
    <row r="886" spans="11:13" x14ac:dyDescent="0.3">
      <c r="K886" s="204">
        <v>854</v>
      </c>
      <c r="L886" s="205">
        <v>-3559.8901652283967</v>
      </c>
      <c r="M886" s="206">
        <v>0.4562124296192489</v>
      </c>
    </row>
    <row r="887" spans="11:13" x14ac:dyDescent="0.3">
      <c r="K887" s="204">
        <v>855</v>
      </c>
      <c r="L887" s="205">
        <v>547345.12794208247</v>
      </c>
      <c r="M887" s="206">
        <v>0.6720620586308379</v>
      </c>
    </row>
    <row r="888" spans="11:13" x14ac:dyDescent="0.3">
      <c r="K888" s="204">
        <v>856</v>
      </c>
      <c r="L888" s="205">
        <v>891373.85943967756</v>
      </c>
      <c r="M888" s="206">
        <v>0.78231659740001369</v>
      </c>
    </row>
    <row r="889" spans="11:13" x14ac:dyDescent="0.3">
      <c r="K889" s="204">
        <v>857</v>
      </c>
      <c r="L889" s="205">
        <v>381249.03664139332</v>
      </c>
      <c r="M889" s="206">
        <v>0.61201987345142217</v>
      </c>
    </row>
    <row r="890" spans="11:13" x14ac:dyDescent="0.3">
      <c r="K890" s="204">
        <v>858</v>
      </c>
      <c r="L890" s="205">
        <v>306204.11355580995</v>
      </c>
      <c r="M890" s="206">
        <v>0.56823269691884892</v>
      </c>
    </row>
    <row r="891" spans="11:13" x14ac:dyDescent="0.3">
      <c r="K891" s="204">
        <v>859</v>
      </c>
      <c r="L891" s="205">
        <v>205146.85422130395</v>
      </c>
      <c r="M891" s="206">
        <v>0.53511775801534833</v>
      </c>
    </row>
    <row r="892" spans="11:13" x14ac:dyDescent="0.3">
      <c r="K892" s="204">
        <v>860</v>
      </c>
      <c r="L892" s="205">
        <v>448558.53217812255</v>
      </c>
      <c r="M892" s="206">
        <v>0.66678109584541967</v>
      </c>
    </row>
    <row r="893" spans="11:13" x14ac:dyDescent="0.3">
      <c r="K893" s="204">
        <v>861</v>
      </c>
      <c r="L893" s="205">
        <v>601804.29750426859</v>
      </c>
      <c r="M893" s="206">
        <v>0.66884244316852315</v>
      </c>
    </row>
    <row r="894" spans="11:13" x14ac:dyDescent="0.3">
      <c r="K894" s="204">
        <v>862</v>
      </c>
      <c r="L894" s="205">
        <v>614367.26170913968</v>
      </c>
      <c r="M894" s="206">
        <v>0.67410043841587641</v>
      </c>
    </row>
    <row r="895" spans="11:13" x14ac:dyDescent="0.3">
      <c r="K895" s="204">
        <v>863</v>
      </c>
      <c r="L895" s="205">
        <v>1104752.4269630183</v>
      </c>
      <c r="M895" s="206">
        <v>0.87005416203002839</v>
      </c>
    </row>
    <row r="896" spans="11:13" x14ac:dyDescent="0.3">
      <c r="K896" s="204">
        <v>864</v>
      </c>
      <c r="L896" s="205">
        <v>1132872.8011585642</v>
      </c>
      <c r="M896" s="206">
        <v>0.88134279531177206</v>
      </c>
    </row>
    <row r="897" spans="11:13" x14ac:dyDescent="0.3">
      <c r="K897" s="204">
        <v>865</v>
      </c>
      <c r="L897" s="205">
        <v>1241586.325944243</v>
      </c>
      <c r="M897" s="206">
        <v>0.94523157791886869</v>
      </c>
    </row>
    <row r="898" spans="11:13" x14ac:dyDescent="0.3">
      <c r="K898" s="204">
        <v>866</v>
      </c>
      <c r="L898" s="205">
        <v>314428.25089505222</v>
      </c>
      <c r="M898" s="206">
        <v>0.57533023858511245</v>
      </c>
    </row>
    <row r="899" spans="11:13" x14ac:dyDescent="0.3">
      <c r="K899" s="204">
        <v>867</v>
      </c>
      <c r="L899" s="205">
        <v>457923.77711357782</v>
      </c>
      <c r="M899" s="206">
        <v>0.63083705476784413</v>
      </c>
    </row>
    <row r="900" spans="11:13" x14ac:dyDescent="0.3">
      <c r="K900" s="204">
        <v>868</v>
      </c>
      <c r="L900" s="205">
        <v>365622.77237690939</v>
      </c>
      <c r="M900" s="206">
        <v>0.59910190133099461</v>
      </c>
    </row>
    <row r="901" spans="11:13" x14ac:dyDescent="0.3">
      <c r="K901" s="204">
        <v>869</v>
      </c>
      <c r="L901" s="205">
        <v>934621.70019930415</v>
      </c>
      <c r="M901" s="206">
        <v>0.81257427889048284</v>
      </c>
    </row>
    <row r="902" spans="11:13" x14ac:dyDescent="0.3">
      <c r="K902" s="204">
        <v>870</v>
      </c>
      <c r="L902" s="205">
        <v>364463.04559462983</v>
      </c>
      <c r="M902" s="206">
        <v>0.59323268675613772</v>
      </c>
    </row>
    <row r="903" spans="11:13" x14ac:dyDescent="0.3">
      <c r="K903" s="204">
        <v>871</v>
      </c>
      <c r="L903" s="205">
        <v>248315.37159793125</v>
      </c>
      <c r="M903" s="206">
        <v>0.5508485574990567</v>
      </c>
    </row>
    <row r="904" spans="11:13" x14ac:dyDescent="0.3">
      <c r="K904" s="204">
        <v>872</v>
      </c>
      <c r="L904" s="205">
        <v>1096987.9764278913</v>
      </c>
      <c r="M904" s="206">
        <v>0.87239944273773329</v>
      </c>
    </row>
    <row r="905" spans="11:13" x14ac:dyDescent="0.3">
      <c r="K905" s="204">
        <v>873</v>
      </c>
      <c r="L905" s="205">
        <v>636559.41084528435</v>
      </c>
      <c r="M905" s="206">
        <v>0.6838526486954184</v>
      </c>
    </row>
    <row r="906" spans="11:13" x14ac:dyDescent="0.3">
      <c r="K906" s="204">
        <v>874</v>
      </c>
      <c r="L906" s="205">
        <v>559004.87153044669</v>
      </c>
      <c r="M906" s="206">
        <v>0.66081937069353103</v>
      </c>
    </row>
    <row r="907" spans="11:13" x14ac:dyDescent="0.3">
      <c r="K907" s="204">
        <v>875</v>
      </c>
      <c r="L907" s="205">
        <v>614948.18942795787</v>
      </c>
      <c r="M907" s="206">
        <v>0.70104769300842129</v>
      </c>
    </row>
    <row r="908" spans="11:13" x14ac:dyDescent="0.3">
      <c r="K908" s="204">
        <v>876</v>
      </c>
      <c r="L908" s="205">
        <v>514859.37070625182</v>
      </c>
      <c r="M908" s="206">
        <v>0.64290313216571282</v>
      </c>
    </row>
    <row r="909" spans="11:13" x14ac:dyDescent="0.3">
      <c r="K909" s="204">
        <v>877</v>
      </c>
      <c r="L909" s="205">
        <v>323815.996459004</v>
      </c>
      <c r="M909" s="206">
        <v>0.58026834601692312</v>
      </c>
    </row>
    <row r="910" spans="11:13" x14ac:dyDescent="0.3">
      <c r="K910" s="204">
        <v>878</v>
      </c>
      <c r="L910" s="205">
        <v>330698.5982871931</v>
      </c>
      <c r="M910" s="206">
        <v>0.57892459675331365</v>
      </c>
    </row>
    <row r="911" spans="11:13" x14ac:dyDescent="0.3">
      <c r="K911" s="204">
        <v>879</v>
      </c>
      <c r="L911" s="205">
        <v>495210.62392955553</v>
      </c>
      <c r="M911" s="206">
        <v>0.63374418967369173</v>
      </c>
    </row>
    <row r="912" spans="11:13" x14ac:dyDescent="0.3">
      <c r="K912" s="204">
        <v>880</v>
      </c>
      <c r="L912" s="205">
        <v>731553.82969919685</v>
      </c>
      <c r="M912" s="206">
        <v>0.74101014836268297</v>
      </c>
    </row>
    <row r="913" spans="11:13" x14ac:dyDescent="0.3">
      <c r="K913" s="204">
        <v>881</v>
      </c>
      <c r="L913" s="205">
        <v>364331.06838165782</v>
      </c>
      <c r="M913" s="206">
        <v>0.59206659273200124</v>
      </c>
    </row>
    <row r="914" spans="11:13" x14ac:dyDescent="0.3">
      <c r="K914" s="204">
        <v>882</v>
      </c>
      <c r="L914" s="205">
        <v>346315.70700400369</v>
      </c>
      <c r="M914" s="206">
        <v>0.58133042890516173</v>
      </c>
    </row>
    <row r="915" spans="11:13" x14ac:dyDescent="0.3">
      <c r="K915" s="204">
        <v>883</v>
      </c>
      <c r="L915" s="205">
        <v>591427.4591718344</v>
      </c>
      <c r="M915" s="206">
        <v>0.67416255282137927</v>
      </c>
    </row>
    <row r="916" spans="11:13" x14ac:dyDescent="0.3">
      <c r="K916" s="204">
        <v>884</v>
      </c>
      <c r="L916" s="205">
        <v>1257675.3074871921</v>
      </c>
      <c r="M916" s="206">
        <v>0.92521312604584205</v>
      </c>
    </row>
    <row r="917" spans="11:13" x14ac:dyDescent="0.3">
      <c r="K917" s="204">
        <v>885</v>
      </c>
      <c r="L917" s="205">
        <v>104796.78437262215</v>
      </c>
      <c r="M917" s="206">
        <v>0.49702666035409715</v>
      </c>
    </row>
    <row r="918" spans="11:13" x14ac:dyDescent="0.3">
      <c r="K918" s="204">
        <v>886</v>
      </c>
      <c r="L918" s="205">
        <v>439968.86799970735</v>
      </c>
      <c r="M918" s="206">
        <v>0.62587784373640787</v>
      </c>
    </row>
    <row r="919" spans="11:13" x14ac:dyDescent="0.3">
      <c r="K919" s="204">
        <v>887</v>
      </c>
      <c r="L919" s="205">
        <v>579573.75742768729</v>
      </c>
      <c r="M919" s="206">
        <v>0.68786821663024789</v>
      </c>
    </row>
    <row r="920" spans="11:13" x14ac:dyDescent="0.3">
      <c r="K920" s="204">
        <v>888</v>
      </c>
      <c r="L920" s="205">
        <v>308906.4260767689</v>
      </c>
      <c r="M920" s="206">
        <v>0.57297341469613561</v>
      </c>
    </row>
    <row r="921" spans="11:13" x14ac:dyDescent="0.3">
      <c r="K921" s="204">
        <v>889</v>
      </c>
      <c r="L921" s="205">
        <v>410984.88417634554</v>
      </c>
      <c r="M921" s="206">
        <v>0.61174467203206251</v>
      </c>
    </row>
    <row r="922" spans="11:13" x14ac:dyDescent="0.3">
      <c r="K922" s="204">
        <v>890</v>
      </c>
      <c r="L922" s="205">
        <v>610220.06779337022</v>
      </c>
      <c r="M922" s="206">
        <v>0.69897065627529842</v>
      </c>
    </row>
    <row r="923" spans="11:13" x14ac:dyDescent="0.3">
      <c r="K923" s="204">
        <v>891</v>
      </c>
      <c r="L923" s="205">
        <v>833093.70548856491</v>
      </c>
      <c r="M923" s="206">
        <v>0.77840318246693174</v>
      </c>
    </row>
    <row r="924" spans="11:13" x14ac:dyDescent="0.3">
      <c r="K924" s="204">
        <v>892</v>
      </c>
      <c r="L924" s="205">
        <v>432054.80398628069</v>
      </c>
      <c r="M924" s="206">
        <v>0.60666272736989213</v>
      </c>
    </row>
    <row r="925" spans="11:13" x14ac:dyDescent="0.3">
      <c r="K925" s="204">
        <v>893</v>
      </c>
      <c r="L925" s="205">
        <v>1160492.8785280008</v>
      </c>
      <c r="M925" s="206">
        <v>0.89169528191583525</v>
      </c>
    </row>
    <row r="926" spans="11:13" x14ac:dyDescent="0.3">
      <c r="K926" s="204">
        <v>894</v>
      </c>
      <c r="L926" s="205">
        <v>624752.53219637787</v>
      </c>
      <c r="M926" s="206">
        <v>0.67393165139872724</v>
      </c>
    </row>
    <row r="927" spans="11:13" x14ac:dyDescent="0.3">
      <c r="K927" s="204">
        <v>895</v>
      </c>
      <c r="L927" s="205">
        <v>182858.30298414081</v>
      </c>
      <c r="M927" s="206">
        <v>0.5187043509357665</v>
      </c>
    </row>
    <row r="928" spans="11:13" x14ac:dyDescent="0.3">
      <c r="K928" s="204">
        <v>896</v>
      </c>
      <c r="L928" s="205">
        <v>969695.26328472979</v>
      </c>
      <c r="M928" s="206">
        <v>0.80154723821626273</v>
      </c>
    </row>
    <row r="929" spans="11:13" x14ac:dyDescent="0.3">
      <c r="K929" s="204">
        <v>897</v>
      </c>
      <c r="L929" s="205">
        <v>801535.59405446844</v>
      </c>
      <c r="M929" s="206">
        <v>0.7405267569628986</v>
      </c>
    </row>
    <row r="930" spans="11:13" x14ac:dyDescent="0.3">
      <c r="K930" s="204">
        <v>898</v>
      </c>
      <c r="L930" s="205">
        <v>209133.94851945341</v>
      </c>
      <c r="M930" s="206">
        <v>0.53564996983803304</v>
      </c>
    </row>
    <row r="931" spans="11:13" x14ac:dyDescent="0.3">
      <c r="K931" s="204">
        <v>899</v>
      </c>
      <c r="L931" s="205">
        <v>793198.29712096602</v>
      </c>
      <c r="M931" s="206">
        <v>0.73508001098524756</v>
      </c>
    </row>
    <row r="932" spans="11:13" x14ac:dyDescent="0.3">
      <c r="K932" s="204">
        <v>900</v>
      </c>
      <c r="L932" s="205">
        <v>917568.98669214966</v>
      </c>
      <c r="M932" s="206">
        <v>0.79139893729297017</v>
      </c>
    </row>
    <row r="933" spans="11:13" x14ac:dyDescent="0.3">
      <c r="K933" s="204">
        <v>901</v>
      </c>
      <c r="L933" s="205">
        <v>473903.90125468606</v>
      </c>
      <c r="M933" s="206">
        <v>0.61728820582555777</v>
      </c>
    </row>
    <row r="934" spans="11:13" x14ac:dyDescent="0.3">
      <c r="K934" s="204">
        <v>902</v>
      </c>
      <c r="L934" s="205">
        <v>599770.18885784317</v>
      </c>
      <c r="M934" s="206">
        <v>0.69875321982865946</v>
      </c>
    </row>
    <row r="935" spans="11:13" x14ac:dyDescent="0.3">
      <c r="K935" s="204">
        <v>903</v>
      </c>
      <c r="L935" s="205">
        <v>272383.29564717365</v>
      </c>
      <c r="M935" s="206">
        <v>0.55249108148175341</v>
      </c>
    </row>
    <row r="936" spans="11:13" x14ac:dyDescent="0.3">
      <c r="K936" s="204">
        <v>904</v>
      </c>
      <c r="L936" s="205">
        <v>400276.35798080266</v>
      </c>
      <c r="M936" s="206">
        <v>0.59963610200049389</v>
      </c>
    </row>
    <row r="937" spans="11:13" x14ac:dyDescent="0.3">
      <c r="K937" s="204">
        <v>905</v>
      </c>
      <c r="L937" s="205">
        <v>738027.64233690128</v>
      </c>
      <c r="M937" s="206">
        <v>0.7307987885936853</v>
      </c>
    </row>
    <row r="938" spans="11:13" x14ac:dyDescent="0.3">
      <c r="K938" s="204">
        <v>906</v>
      </c>
      <c r="L938" s="205">
        <v>1077581.3799928171</v>
      </c>
      <c r="M938" s="206">
        <v>0.83832729758543145</v>
      </c>
    </row>
    <row r="939" spans="11:13" x14ac:dyDescent="0.3">
      <c r="K939" s="204">
        <v>907</v>
      </c>
      <c r="L939" s="205">
        <v>1061590.740321862</v>
      </c>
      <c r="M939" s="206">
        <v>0.83759261034997357</v>
      </c>
    </row>
    <row r="940" spans="11:13" x14ac:dyDescent="0.3">
      <c r="K940" s="204">
        <v>908</v>
      </c>
      <c r="L940" s="205">
        <v>1232698.0061305542</v>
      </c>
      <c r="M940" s="206">
        <v>0.90853391312393539</v>
      </c>
    </row>
    <row r="941" spans="11:13" x14ac:dyDescent="0.3">
      <c r="K941" s="204">
        <v>909</v>
      </c>
      <c r="L941" s="205">
        <v>639998.40259890771</v>
      </c>
      <c r="M941" s="206">
        <v>0.68368006769527101</v>
      </c>
    </row>
    <row r="942" spans="11:13" x14ac:dyDescent="0.3">
      <c r="K942" s="204">
        <v>910</v>
      </c>
      <c r="L942" s="205">
        <v>629785.17870555492</v>
      </c>
      <c r="M942" s="206">
        <v>0.6989137229404665</v>
      </c>
    </row>
    <row r="943" spans="11:13" x14ac:dyDescent="0.3">
      <c r="K943" s="204">
        <v>911</v>
      </c>
      <c r="L943" s="205">
        <v>933265.87320743687</v>
      </c>
      <c r="M943" s="206">
        <v>0.84151848871552937</v>
      </c>
    </row>
    <row r="944" spans="11:13" x14ac:dyDescent="0.3">
      <c r="K944" s="204">
        <v>912</v>
      </c>
      <c r="L944" s="205">
        <v>831567.26602270361</v>
      </c>
      <c r="M944" s="206">
        <v>0.78383597735703914</v>
      </c>
    </row>
    <row r="945" spans="11:13" x14ac:dyDescent="0.3">
      <c r="K945" s="204">
        <v>913</v>
      </c>
      <c r="L945" s="205">
        <v>-136802.63301218674</v>
      </c>
      <c r="M945" s="206">
        <v>0.40816337095542821</v>
      </c>
    </row>
    <row r="946" spans="11:13" x14ac:dyDescent="0.3">
      <c r="K946" s="204">
        <v>914</v>
      </c>
      <c r="L946" s="205">
        <v>760598.39727236563</v>
      </c>
      <c r="M946" s="206">
        <v>0.74085947569841926</v>
      </c>
    </row>
    <row r="947" spans="11:13" x14ac:dyDescent="0.3">
      <c r="K947" s="204">
        <v>915</v>
      </c>
      <c r="L947" s="205">
        <v>525278.19177335501</v>
      </c>
      <c r="M947" s="206">
        <v>0.64313041979155439</v>
      </c>
    </row>
    <row r="948" spans="11:13" x14ac:dyDescent="0.3">
      <c r="K948" s="204">
        <v>916</v>
      </c>
      <c r="L948" s="205">
        <v>444258.86346864467</v>
      </c>
      <c r="M948" s="206">
        <v>0.62503333385054693</v>
      </c>
    </row>
    <row r="949" spans="11:13" x14ac:dyDescent="0.3">
      <c r="K949" s="204">
        <v>917</v>
      </c>
      <c r="L949" s="205">
        <v>569462.28453294607</v>
      </c>
      <c r="M949" s="206">
        <v>0.65509863288008718</v>
      </c>
    </row>
    <row r="950" spans="11:13" x14ac:dyDescent="0.3">
      <c r="K950" s="204">
        <v>918</v>
      </c>
      <c r="L950" s="205">
        <v>1346516.7868905882</v>
      </c>
      <c r="M950" s="206">
        <v>0.93801606263982529</v>
      </c>
    </row>
    <row r="951" spans="11:13" x14ac:dyDescent="0.3">
      <c r="K951" s="204">
        <v>919</v>
      </c>
      <c r="L951" s="205">
        <v>400540.29784026416</v>
      </c>
      <c r="M951" s="206">
        <v>0.59859737766205967</v>
      </c>
    </row>
    <row r="952" spans="11:13" x14ac:dyDescent="0.3">
      <c r="K952" s="204">
        <v>920</v>
      </c>
      <c r="L952" s="205">
        <v>392321.34207567107</v>
      </c>
      <c r="M952" s="206">
        <v>0.60388311836971686</v>
      </c>
    </row>
    <row r="953" spans="11:13" x14ac:dyDescent="0.3">
      <c r="K953" s="204">
        <v>921</v>
      </c>
      <c r="L953" s="205">
        <v>835731.3531787768</v>
      </c>
      <c r="M953" s="206">
        <v>0.76775575948926811</v>
      </c>
    </row>
    <row r="954" spans="11:13" x14ac:dyDescent="0.3">
      <c r="K954" s="204">
        <v>922</v>
      </c>
      <c r="L954" s="205">
        <v>976670.56528109778</v>
      </c>
      <c r="M954" s="206">
        <v>0.81334978362863986</v>
      </c>
    </row>
    <row r="955" spans="11:13" x14ac:dyDescent="0.3">
      <c r="K955" s="204">
        <v>923</v>
      </c>
      <c r="L955" s="205">
        <v>188654.19541022694</v>
      </c>
      <c r="M955" s="206">
        <v>0.52850636182790822</v>
      </c>
    </row>
    <row r="956" spans="11:13" x14ac:dyDescent="0.3">
      <c r="K956" s="204">
        <v>924</v>
      </c>
      <c r="L956" s="205">
        <v>1128642.5970526435</v>
      </c>
      <c r="M956" s="206">
        <v>0.86810864299817436</v>
      </c>
    </row>
    <row r="957" spans="11:13" x14ac:dyDescent="0.3">
      <c r="K957" s="204">
        <v>925</v>
      </c>
      <c r="L957" s="205">
        <v>548933.06687284261</v>
      </c>
      <c r="M957" s="206">
        <v>0.66066058456887644</v>
      </c>
    </row>
    <row r="958" spans="11:13" x14ac:dyDescent="0.3">
      <c r="K958" s="204">
        <v>926</v>
      </c>
      <c r="L958" s="205">
        <v>350644.52848645067</v>
      </c>
      <c r="M958" s="206">
        <v>0.57844293575357808</v>
      </c>
    </row>
    <row r="959" spans="11:13" x14ac:dyDescent="0.3">
      <c r="K959" s="204">
        <v>927</v>
      </c>
      <c r="L959" s="205">
        <v>398340.03949844884</v>
      </c>
      <c r="M959" s="206">
        <v>0.59616360659982992</v>
      </c>
    </row>
    <row r="960" spans="11:13" x14ac:dyDescent="0.3">
      <c r="K960" s="204">
        <v>928</v>
      </c>
      <c r="L960" s="205">
        <v>518704.09142427705</v>
      </c>
      <c r="M960" s="206">
        <v>0.6572846303122295</v>
      </c>
    </row>
    <row r="961" spans="11:13" x14ac:dyDescent="0.3">
      <c r="K961" s="204">
        <v>929</v>
      </c>
      <c r="L961" s="205">
        <v>990.03884645272046</v>
      </c>
      <c r="M961" s="206">
        <v>0.45788469655472697</v>
      </c>
    </row>
    <row r="962" spans="11:13" x14ac:dyDescent="0.3">
      <c r="K962" s="204">
        <v>930</v>
      </c>
      <c r="L962" s="205">
        <v>322681.17645483091</v>
      </c>
      <c r="M962" s="206">
        <v>0.58242183827023952</v>
      </c>
    </row>
    <row r="963" spans="11:13" x14ac:dyDescent="0.3">
      <c r="K963" s="204">
        <v>931</v>
      </c>
      <c r="L963" s="205">
        <v>5605.3656348860823</v>
      </c>
      <c r="M963" s="206">
        <v>0.45966300522446901</v>
      </c>
    </row>
    <row r="964" spans="11:13" x14ac:dyDescent="0.3">
      <c r="K964" s="204">
        <v>932</v>
      </c>
      <c r="L964" s="205">
        <v>387387.20282712393</v>
      </c>
      <c r="M964" s="206">
        <v>0.59616557146699622</v>
      </c>
    </row>
    <row r="965" spans="11:13" x14ac:dyDescent="0.3">
      <c r="K965" s="204">
        <v>933</v>
      </c>
      <c r="L965" s="205">
        <v>404504.97745315218</v>
      </c>
      <c r="M965" s="206">
        <v>0.59996927502172892</v>
      </c>
    </row>
    <row r="966" spans="11:13" x14ac:dyDescent="0.3">
      <c r="K966" s="204">
        <v>934</v>
      </c>
      <c r="L966" s="205">
        <v>556184.51948536327</v>
      </c>
      <c r="M966" s="206">
        <v>0.66752792527002169</v>
      </c>
    </row>
    <row r="967" spans="11:13" x14ac:dyDescent="0.3">
      <c r="K967" s="204">
        <v>935</v>
      </c>
      <c r="L967" s="205">
        <v>420174.93976452295</v>
      </c>
      <c r="M967" s="206">
        <v>0.6037612714597016</v>
      </c>
    </row>
    <row r="968" spans="11:13" x14ac:dyDescent="0.3">
      <c r="K968" s="204">
        <v>936</v>
      </c>
      <c r="L968" s="205">
        <v>1064894.1588453799</v>
      </c>
      <c r="M968" s="206">
        <v>0.89289024407773665</v>
      </c>
    </row>
    <row r="969" spans="11:13" x14ac:dyDescent="0.3">
      <c r="K969" s="204">
        <v>937</v>
      </c>
      <c r="L969" s="205">
        <v>551677.18412522692</v>
      </c>
      <c r="M969" s="206">
        <v>0.66866257017366615</v>
      </c>
    </row>
    <row r="970" spans="11:13" x14ac:dyDescent="0.3">
      <c r="K970" s="204">
        <v>938</v>
      </c>
      <c r="L970" s="205">
        <v>747406.5532367304</v>
      </c>
      <c r="M970" s="206">
        <v>0.72023997846423438</v>
      </c>
    </row>
    <row r="971" spans="11:13" x14ac:dyDescent="0.3">
      <c r="K971" s="204">
        <v>939</v>
      </c>
      <c r="L971" s="205">
        <v>1192684.7699453528</v>
      </c>
      <c r="M971" s="206">
        <v>0.91189658547306696</v>
      </c>
    </row>
    <row r="972" spans="11:13" x14ac:dyDescent="0.3">
      <c r="K972" s="204">
        <v>940</v>
      </c>
      <c r="L972" s="205">
        <v>1057657.071239796</v>
      </c>
      <c r="M972" s="206">
        <v>0.8467031311060762</v>
      </c>
    </row>
    <row r="973" spans="11:13" x14ac:dyDescent="0.3">
      <c r="K973" s="204">
        <v>941</v>
      </c>
      <c r="L973" s="205">
        <v>684595.46301587112</v>
      </c>
      <c r="M973" s="206">
        <v>0.7267015815258524</v>
      </c>
    </row>
    <row r="974" spans="11:13" x14ac:dyDescent="0.3">
      <c r="K974" s="204">
        <v>942</v>
      </c>
      <c r="L974" s="205">
        <v>1224935.5852506058</v>
      </c>
      <c r="M974" s="206">
        <v>0.91546525436960691</v>
      </c>
    </row>
    <row r="975" spans="11:13" x14ac:dyDescent="0.3">
      <c r="K975" s="204">
        <v>943</v>
      </c>
      <c r="L975" s="205">
        <v>40328.114030425902</v>
      </c>
      <c r="M975" s="206">
        <v>0.47111838528620331</v>
      </c>
    </row>
    <row r="976" spans="11:13" x14ac:dyDescent="0.3">
      <c r="K976" s="204">
        <v>944</v>
      </c>
      <c r="L976" s="205">
        <v>774622.58412234904</v>
      </c>
      <c r="M976" s="206">
        <v>0.75572852459321482</v>
      </c>
    </row>
    <row r="977" spans="11:13" x14ac:dyDescent="0.3">
      <c r="K977" s="204">
        <v>945</v>
      </c>
      <c r="L977" s="205">
        <v>747855.52663846873</v>
      </c>
      <c r="M977" s="206">
        <v>0.75941329649270739</v>
      </c>
    </row>
    <row r="978" spans="11:13" x14ac:dyDescent="0.3">
      <c r="K978" s="204">
        <v>946</v>
      </c>
      <c r="L978" s="205">
        <v>761114.60781707847</v>
      </c>
      <c r="M978" s="206">
        <v>0.74791706487015253</v>
      </c>
    </row>
    <row r="979" spans="11:13" x14ac:dyDescent="0.3">
      <c r="K979" s="204">
        <v>947</v>
      </c>
      <c r="L979" s="205">
        <v>689437.03203558363</v>
      </c>
      <c r="M979" s="206">
        <v>0.70956306105316802</v>
      </c>
    </row>
    <row r="980" spans="11:13" x14ac:dyDescent="0.3">
      <c r="K980" s="204">
        <v>948</v>
      </c>
      <c r="L980" s="205">
        <v>45110.874084868934</v>
      </c>
      <c r="M980" s="206">
        <v>0.47378611392733871</v>
      </c>
    </row>
    <row r="981" spans="11:13" x14ac:dyDescent="0.3">
      <c r="K981" s="204">
        <v>949</v>
      </c>
      <c r="L981" s="205">
        <v>253993.7737921481</v>
      </c>
      <c r="M981" s="206">
        <v>0.54701655332096855</v>
      </c>
    </row>
    <row r="982" spans="11:13" x14ac:dyDescent="0.3">
      <c r="K982" s="204">
        <v>950</v>
      </c>
      <c r="L982" s="205">
        <v>427662.00743764872</v>
      </c>
      <c r="M982" s="206">
        <v>0.62374436487542284</v>
      </c>
    </row>
    <row r="983" spans="11:13" x14ac:dyDescent="0.3">
      <c r="K983" s="204">
        <v>951</v>
      </c>
      <c r="L983" s="205">
        <v>-91752.119188338285</v>
      </c>
      <c r="M983" s="206">
        <v>0.42294911446932137</v>
      </c>
    </row>
    <row r="984" spans="11:13" x14ac:dyDescent="0.3">
      <c r="K984" s="204">
        <v>952</v>
      </c>
      <c r="L984" s="205">
        <v>1605430.4151688851</v>
      </c>
      <c r="M984" s="206">
        <v>1.0611622403752117</v>
      </c>
    </row>
    <row r="985" spans="11:13" x14ac:dyDescent="0.3">
      <c r="K985" s="204">
        <v>953</v>
      </c>
      <c r="L985" s="205">
        <v>594458.21794398827</v>
      </c>
      <c r="M985" s="206">
        <v>0.67986854018922394</v>
      </c>
    </row>
    <row r="986" spans="11:13" x14ac:dyDescent="0.3">
      <c r="K986" s="204">
        <v>954</v>
      </c>
      <c r="L986" s="205">
        <v>892508.34990939824</v>
      </c>
      <c r="M986" s="206">
        <v>0.76395701615572786</v>
      </c>
    </row>
    <row r="987" spans="11:13" x14ac:dyDescent="0.3">
      <c r="K987" s="204">
        <v>955</v>
      </c>
      <c r="L987" s="205">
        <v>395624.88426562259</v>
      </c>
      <c r="M987" s="206">
        <v>0.60606507665648524</v>
      </c>
    </row>
    <row r="988" spans="11:13" x14ac:dyDescent="0.3">
      <c r="K988" s="204">
        <v>956</v>
      </c>
      <c r="L988" s="205">
        <v>733741.66640092852</v>
      </c>
      <c r="M988" s="206">
        <v>0.73705252797745313</v>
      </c>
    </row>
    <row r="989" spans="11:13" x14ac:dyDescent="0.3">
      <c r="K989" s="204">
        <v>957</v>
      </c>
      <c r="L989" s="205">
        <v>774487.21050213091</v>
      </c>
      <c r="M989" s="206">
        <v>0.7676734736037909</v>
      </c>
    </row>
    <row r="990" spans="11:13" x14ac:dyDescent="0.3">
      <c r="K990" s="204">
        <v>958</v>
      </c>
      <c r="L990" s="205">
        <v>327522.12505140202</v>
      </c>
      <c r="M990" s="206">
        <v>0.5796135424406299</v>
      </c>
    </row>
    <row r="991" spans="11:13" x14ac:dyDescent="0.3">
      <c r="K991" s="204">
        <v>959</v>
      </c>
      <c r="L991" s="205">
        <v>136634.06633513467</v>
      </c>
      <c r="M991" s="206">
        <v>0.50717245039286807</v>
      </c>
    </row>
    <row r="992" spans="11:13" x14ac:dyDescent="0.3">
      <c r="K992" s="204">
        <v>960</v>
      </c>
      <c r="L992" s="205">
        <v>605179.75129870791</v>
      </c>
      <c r="M992" s="206">
        <v>0.67910596895375286</v>
      </c>
    </row>
    <row r="993" spans="11:13" x14ac:dyDescent="0.3">
      <c r="K993" s="204">
        <v>961</v>
      </c>
      <c r="L993" s="205">
        <v>557402.48120946949</v>
      </c>
      <c r="M993" s="206">
        <v>0.65513659318452344</v>
      </c>
    </row>
    <row r="994" spans="11:13" x14ac:dyDescent="0.3">
      <c r="K994" s="204">
        <v>962</v>
      </c>
      <c r="L994" s="205">
        <v>795324.65581601392</v>
      </c>
      <c r="M994" s="206">
        <v>0.74311455503228974</v>
      </c>
    </row>
    <row r="995" spans="11:13" x14ac:dyDescent="0.3">
      <c r="K995" s="204">
        <v>963</v>
      </c>
      <c r="L995" s="205">
        <v>317297.96272796439</v>
      </c>
      <c r="M995" s="206">
        <v>0.57289427121370173</v>
      </c>
    </row>
    <row r="996" spans="11:13" x14ac:dyDescent="0.3">
      <c r="K996" s="204">
        <v>964</v>
      </c>
      <c r="L996" s="205">
        <v>800137.64897722891</v>
      </c>
      <c r="M996" s="206">
        <v>0.74856187005857322</v>
      </c>
    </row>
    <row r="997" spans="11:13" x14ac:dyDescent="0.3">
      <c r="K997" s="204">
        <v>965</v>
      </c>
      <c r="L997" s="205">
        <v>343322.42540491326</v>
      </c>
      <c r="M997" s="206">
        <v>0.58995903200762223</v>
      </c>
    </row>
    <row r="998" spans="11:13" x14ac:dyDescent="0.3">
      <c r="K998" s="204">
        <v>966</v>
      </c>
      <c r="L998" s="205">
        <v>378478.86786199734</v>
      </c>
      <c r="M998" s="206">
        <v>0.59979217542409491</v>
      </c>
    </row>
    <row r="999" spans="11:13" x14ac:dyDescent="0.3">
      <c r="K999" s="204">
        <v>967</v>
      </c>
      <c r="L999" s="205">
        <v>626566.4893935509</v>
      </c>
      <c r="M999" s="206">
        <v>0.69595509782321163</v>
      </c>
    </row>
    <row r="1000" spans="11:13" x14ac:dyDescent="0.3">
      <c r="K1000" s="204">
        <v>968</v>
      </c>
      <c r="L1000" s="205">
        <v>910604.44074656302</v>
      </c>
      <c r="M1000" s="206">
        <v>0.78137172890061524</v>
      </c>
    </row>
    <row r="1001" spans="11:13" x14ac:dyDescent="0.3">
      <c r="K1001" s="204">
        <v>969</v>
      </c>
      <c r="L1001" s="205">
        <v>543558.70330613526</v>
      </c>
      <c r="M1001" s="206">
        <v>0.65240183247721784</v>
      </c>
    </row>
    <row r="1002" spans="11:13" x14ac:dyDescent="0.3">
      <c r="K1002" s="204">
        <v>970</v>
      </c>
      <c r="L1002" s="205">
        <v>915560.12328482931</v>
      </c>
      <c r="M1002" s="206">
        <v>0.79110176200796811</v>
      </c>
    </row>
    <row r="1003" spans="11:13" x14ac:dyDescent="0.3">
      <c r="K1003" s="204">
        <v>971</v>
      </c>
      <c r="L1003" s="205">
        <v>523725.50464151846</v>
      </c>
      <c r="M1003" s="206">
        <v>0.67622169672411281</v>
      </c>
    </row>
    <row r="1004" spans="11:13" x14ac:dyDescent="0.3">
      <c r="K1004" s="204">
        <v>972</v>
      </c>
      <c r="L1004" s="205">
        <v>529677.6045163325</v>
      </c>
      <c r="M1004" s="206">
        <v>0.65156854273945219</v>
      </c>
    </row>
    <row r="1005" spans="11:13" x14ac:dyDescent="0.3">
      <c r="K1005" s="204">
        <v>973</v>
      </c>
      <c r="L1005" s="205">
        <v>972084.83097023657</v>
      </c>
      <c r="M1005" s="206">
        <v>0.81637942427056509</v>
      </c>
    </row>
    <row r="1006" spans="11:13" x14ac:dyDescent="0.3">
      <c r="K1006" s="204">
        <v>974</v>
      </c>
      <c r="L1006" s="205">
        <v>372615.31458387431</v>
      </c>
      <c r="M1006" s="206">
        <v>0.58891829737881296</v>
      </c>
    </row>
    <row r="1007" spans="11:13" x14ac:dyDescent="0.3">
      <c r="K1007" s="204">
        <v>975</v>
      </c>
      <c r="L1007" s="205">
        <v>706135.66659633536</v>
      </c>
      <c r="M1007" s="206">
        <v>0.74106559643889836</v>
      </c>
    </row>
    <row r="1008" spans="11:13" x14ac:dyDescent="0.3">
      <c r="K1008" s="204">
        <v>976</v>
      </c>
      <c r="L1008" s="205">
        <v>270769.34787935857</v>
      </c>
      <c r="M1008" s="206">
        <v>0.55946499548469997</v>
      </c>
    </row>
    <row r="1009" spans="11:13" x14ac:dyDescent="0.3">
      <c r="K1009" s="204">
        <v>977</v>
      </c>
      <c r="L1009" s="205">
        <v>746844.59958383115</v>
      </c>
      <c r="M1009" s="206">
        <v>0.73374289448378849</v>
      </c>
    </row>
    <row r="1010" spans="11:13" x14ac:dyDescent="0.3">
      <c r="K1010" s="204">
        <v>978</v>
      </c>
      <c r="L1010" s="205">
        <v>860599.75773171848</v>
      </c>
      <c r="M1010" s="206">
        <v>0.78226727749589031</v>
      </c>
    </row>
    <row r="1011" spans="11:13" x14ac:dyDescent="0.3">
      <c r="K1011" s="204">
        <v>979</v>
      </c>
      <c r="L1011" s="205">
        <v>412027.06056027906</v>
      </c>
      <c r="M1011" s="206">
        <v>0.61308629731505038</v>
      </c>
    </row>
    <row r="1012" spans="11:13" x14ac:dyDescent="0.3">
      <c r="K1012" s="204">
        <v>980</v>
      </c>
      <c r="L1012" s="205">
        <v>700444.60255787335</v>
      </c>
      <c r="M1012" s="206">
        <v>0.71679258332963536</v>
      </c>
    </row>
    <row r="1013" spans="11:13" x14ac:dyDescent="0.3">
      <c r="K1013" s="204">
        <v>981</v>
      </c>
      <c r="L1013" s="205">
        <v>656947.10327248648</v>
      </c>
      <c r="M1013" s="206">
        <v>0.7179279284505522</v>
      </c>
    </row>
    <row r="1014" spans="11:13" x14ac:dyDescent="0.3">
      <c r="K1014" s="204">
        <v>982</v>
      </c>
      <c r="L1014" s="205">
        <v>745625.29812083859</v>
      </c>
      <c r="M1014" s="206">
        <v>0.74636758801798986</v>
      </c>
    </row>
    <row r="1015" spans="11:13" x14ac:dyDescent="0.3">
      <c r="K1015" s="204">
        <v>983</v>
      </c>
      <c r="L1015" s="205">
        <v>769575.32406949531</v>
      </c>
      <c r="M1015" s="206">
        <v>0.76333532219725875</v>
      </c>
    </row>
    <row r="1016" spans="11:13" x14ac:dyDescent="0.3">
      <c r="K1016" s="204">
        <v>984</v>
      </c>
      <c r="L1016" s="205">
        <v>311101.76411116309</v>
      </c>
      <c r="M1016" s="206">
        <v>0.57794175560287719</v>
      </c>
    </row>
    <row r="1017" spans="11:13" x14ac:dyDescent="0.3">
      <c r="K1017" s="204">
        <v>985</v>
      </c>
      <c r="L1017" s="205">
        <v>404425.62551928079</v>
      </c>
      <c r="M1017" s="206">
        <v>0.60627043623139065</v>
      </c>
    </row>
    <row r="1018" spans="11:13" x14ac:dyDescent="0.3">
      <c r="K1018" s="204">
        <v>986</v>
      </c>
      <c r="L1018" s="205">
        <v>599542.49106818018</v>
      </c>
      <c r="M1018" s="206">
        <v>0.68535431986392559</v>
      </c>
    </row>
    <row r="1019" spans="11:13" x14ac:dyDescent="0.3">
      <c r="K1019" s="204">
        <v>987</v>
      </c>
      <c r="L1019" s="205">
        <v>845108.05158655439</v>
      </c>
      <c r="M1019" s="206">
        <v>0.77233537160443144</v>
      </c>
    </row>
    <row r="1020" spans="11:13" x14ac:dyDescent="0.3">
      <c r="K1020" s="204">
        <v>988</v>
      </c>
      <c r="L1020" s="205">
        <v>588263.04985200521</v>
      </c>
      <c r="M1020" s="206">
        <v>0.65914067778619678</v>
      </c>
    </row>
    <row r="1021" spans="11:13" x14ac:dyDescent="0.3">
      <c r="K1021" s="204">
        <v>989</v>
      </c>
      <c r="L1021" s="205">
        <v>593495.31167561514</v>
      </c>
      <c r="M1021" s="206">
        <v>0.69489862496514743</v>
      </c>
    </row>
    <row r="1022" spans="11:13" x14ac:dyDescent="0.3">
      <c r="K1022" s="204">
        <v>990</v>
      </c>
      <c r="L1022" s="205">
        <v>391299.23558926629</v>
      </c>
      <c r="M1022" s="206">
        <v>0.60629727372241593</v>
      </c>
    </row>
    <row r="1023" spans="11:13" x14ac:dyDescent="0.3">
      <c r="K1023" s="204">
        <v>991</v>
      </c>
      <c r="L1023" s="205">
        <v>196132.80948934425</v>
      </c>
      <c r="M1023" s="206">
        <v>0.52902514549836188</v>
      </c>
    </row>
    <row r="1024" spans="11:13" x14ac:dyDescent="0.3">
      <c r="K1024" s="204">
        <v>992</v>
      </c>
      <c r="L1024" s="205">
        <v>1160008.7312055365</v>
      </c>
      <c r="M1024" s="206">
        <v>0.88093154803237073</v>
      </c>
    </row>
    <row r="1025" spans="11:13" x14ac:dyDescent="0.3">
      <c r="K1025" s="204">
        <v>993</v>
      </c>
      <c r="L1025" s="205">
        <v>1017468.2747859857</v>
      </c>
      <c r="M1025" s="206">
        <v>0.85034511825502501</v>
      </c>
    </row>
    <row r="1026" spans="11:13" x14ac:dyDescent="0.3">
      <c r="K1026" s="204">
        <v>994</v>
      </c>
      <c r="L1026" s="205">
        <v>395646.98541558441</v>
      </c>
      <c r="M1026" s="206">
        <v>0.5993582916350424</v>
      </c>
    </row>
    <row r="1027" spans="11:13" x14ac:dyDescent="0.3">
      <c r="K1027" s="204">
        <v>995</v>
      </c>
      <c r="L1027" s="205">
        <v>674921.38137748279</v>
      </c>
      <c r="M1027" s="206">
        <v>0.70001265215737773</v>
      </c>
    </row>
    <row r="1028" spans="11:13" x14ac:dyDescent="0.3">
      <c r="K1028" s="204">
        <v>996</v>
      </c>
      <c r="L1028" s="205">
        <v>687241.83373219194</v>
      </c>
      <c r="M1028" s="206">
        <v>0.70007288850246296</v>
      </c>
    </row>
    <row r="1029" spans="11:13" x14ac:dyDescent="0.3">
      <c r="K1029" s="204">
        <v>997</v>
      </c>
      <c r="L1029" s="205">
        <v>635602.0559213208</v>
      </c>
      <c r="M1029" s="206">
        <v>0.7048366863448412</v>
      </c>
    </row>
    <row r="1030" spans="11:13" x14ac:dyDescent="0.3">
      <c r="K1030" s="204">
        <v>998</v>
      </c>
      <c r="L1030" s="205">
        <v>1003395.2715790463</v>
      </c>
      <c r="M1030" s="206">
        <v>0.83228672752886701</v>
      </c>
    </row>
    <row r="1031" spans="11:13" x14ac:dyDescent="0.3">
      <c r="K1031" s="204">
        <v>999</v>
      </c>
      <c r="L1031" s="205">
        <v>817223.42112931469</v>
      </c>
      <c r="M1031" s="206">
        <v>0.78561894728816628</v>
      </c>
    </row>
    <row r="1032" spans="11:13" x14ac:dyDescent="0.3">
      <c r="K1032" s="204">
        <v>1000</v>
      </c>
      <c r="L1032" s="205">
        <v>896887.90409601573</v>
      </c>
      <c r="M1032" s="206">
        <v>0.7898437134165528</v>
      </c>
    </row>
  </sheetData>
  <sheetProtection algorithmName="SHA-512" hashValue="86nU9fYVqA2RTx1YIhzcbdmezqOpYTn1Dy7REmyAWx4rOfD8u2lNxFGeB8oviZduuodJ58+BCOzc4Xluo7gYXg==" saltValue="X8mB++9n/n3F6Xhd5L8wNA==" spinCount="100000" sheet="1" objects="1" scenarios="1"/>
  <mergeCells count="1">
    <mergeCell ref="B2:E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919F1-9CC1-46D3-AA05-CC64B1F3FC38}">
  <sheetPr codeName="Sheet10"/>
  <dimension ref="B2:D25"/>
  <sheetViews>
    <sheetView showGridLines="0" rightToLeft="1" workbookViewId="0">
      <selection activeCell="F6" sqref="F6"/>
    </sheetView>
  </sheetViews>
  <sheetFormatPr defaultRowHeight="15" x14ac:dyDescent="0.25"/>
  <cols>
    <col min="1" max="1" width="4" style="69" customWidth="1"/>
    <col min="2" max="2" width="39.77734375" style="69" bestFit="1" customWidth="1"/>
    <col min="3" max="4" width="14" style="69" bestFit="1" customWidth="1"/>
    <col min="5" max="16384" width="8.88671875" style="69"/>
  </cols>
  <sheetData>
    <row r="2" spans="2:4" ht="25.2" thickBot="1" x14ac:dyDescent="0.3">
      <c r="B2" s="80" t="s">
        <v>285</v>
      </c>
      <c r="C2" s="71"/>
    </row>
    <row r="3" spans="2:4" ht="15.6" thickTop="1" x14ac:dyDescent="0.25">
      <c r="B3" s="71"/>
      <c r="C3" s="71"/>
    </row>
    <row r="4" spans="2:4" ht="21.6" thickBot="1" x14ac:dyDescent="0.3">
      <c r="B4" s="70" t="s">
        <v>276</v>
      </c>
    </row>
    <row r="5" spans="2:4" ht="15.6" thickTop="1" x14ac:dyDescent="0.25">
      <c r="B5" s="71"/>
      <c r="C5" s="71"/>
    </row>
    <row r="6" spans="2:4" ht="16.2" thickBot="1" x14ac:dyDescent="0.35">
      <c r="B6" s="72" t="s">
        <v>212</v>
      </c>
      <c r="C6" s="73">
        <v>0.24840000000000001</v>
      </c>
      <c r="D6" s="114" t="s">
        <v>316</v>
      </c>
    </row>
    <row r="7" spans="2:4" ht="16.2" thickBot="1" x14ac:dyDescent="0.35">
      <c r="B7" s="72" t="s">
        <v>273</v>
      </c>
      <c r="C7" s="74">
        <v>1.5</v>
      </c>
      <c r="D7" s="114" t="s">
        <v>316</v>
      </c>
    </row>
    <row r="8" spans="2:4" ht="16.2" thickBot="1" x14ac:dyDescent="0.35">
      <c r="B8" s="75" t="s">
        <v>274</v>
      </c>
      <c r="C8" s="76">
        <v>0.1394</v>
      </c>
      <c r="D8" s="114" t="s">
        <v>316</v>
      </c>
    </row>
    <row r="9" spans="2:4" ht="18" thickBot="1" x14ac:dyDescent="0.3">
      <c r="B9" s="77" t="s">
        <v>275</v>
      </c>
      <c r="C9" s="78">
        <f>C6+(C7*C8)</f>
        <v>0.45750000000000002</v>
      </c>
    </row>
    <row r="10" spans="2:4" ht="15.6" thickTop="1" x14ac:dyDescent="0.25">
      <c r="B10" s="71"/>
      <c r="C10" s="71"/>
    </row>
    <row r="11" spans="2:4" x14ac:dyDescent="0.25">
      <c r="B11" s="71"/>
      <c r="C11" s="71"/>
    </row>
    <row r="12" spans="2:4" ht="21.6" thickBot="1" x14ac:dyDescent="0.3">
      <c r="B12" s="70" t="s">
        <v>277</v>
      </c>
      <c r="C12" s="71"/>
    </row>
    <row r="13" spans="2:4" ht="15.6" thickTop="1" x14ac:dyDescent="0.25">
      <c r="B13" s="71"/>
      <c r="C13" s="71"/>
    </row>
    <row r="14" spans="2:4" ht="16.2" thickBot="1" x14ac:dyDescent="0.35">
      <c r="B14" s="72" t="s">
        <v>278</v>
      </c>
      <c r="C14" s="73">
        <v>0.19500000000000001</v>
      </c>
      <c r="D14" s="114" t="s">
        <v>316</v>
      </c>
    </row>
    <row r="15" spans="2:4" ht="16.2" thickBot="1" x14ac:dyDescent="0.35">
      <c r="B15" s="74" t="s">
        <v>279</v>
      </c>
      <c r="C15" s="73">
        <v>0.22500000000000001</v>
      </c>
      <c r="D15" s="114" t="s">
        <v>316</v>
      </c>
    </row>
    <row r="16" spans="2:4" x14ac:dyDescent="0.25">
      <c r="B16" s="71"/>
      <c r="C16" s="71"/>
    </row>
    <row r="17" spans="2:4" ht="21" x14ac:dyDescent="0.25">
      <c r="B17" s="79" t="s">
        <v>280</v>
      </c>
      <c r="C17" s="71"/>
    </row>
    <row r="18" spans="2:4" x14ac:dyDescent="0.25">
      <c r="B18" s="71"/>
      <c r="C18" s="71"/>
    </row>
    <row r="19" spans="2:4" ht="16.2" thickBot="1" x14ac:dyDescent="0.3">
      <c r="B19" s="182" t="s">
        <v>281</v>
      </c>
      <c r="C19" s="183">
        <f>C9</f>
        <v>0.45750000000000002</v>
      </c>
    </row>
    <row r="20" spans="2:4" ht="16.2" thickBot="1" x14ac:dyDescent="0.35">
      <c r="B20" s="182" t="s">
        <v>282</v>
      </c>
      <c r="C20" s="183">
        <v>1</v>
      </c>
      <c r="D20" s="114" t="s">
        <v>316</v>
      </c>
    </row>
    <row r="21" spans="2:4" ht="16.2" thickBot="1" x14ac:dyDescent="0.3">
      <c r="B21" s="115" t="s">
        <v>277</v>
      </c>
      <c r="C21" s="81">
        <f>C14</f>
        <v>0.19500000000000001</v>
      </c>
    </row>
    <row r="22" spans="2:4" ht="16.2" thickBot="1" x14ac:dyDescent="0.3">
      <c r="B22" s="115" t="s">
        <v>283</v>
      </c>
      <c r="C22" s="81">
        <f>1-C15</f>
        <v>0.77500000000000002</v>
      </c>
    </row>
    <row r="23" spans="2:4" ht="16.2" thickBot="1" x14ac:dyDescent="0.35">
      <c r="B23" s="115" t="s">
        <v>284</v>
      </c>
      <c r="C23" s="81">
        <v>0</v>
      </c>
      <c r="D23" s="114" t="s">
        <v>316</v>
      </c>
    </row>
    <row r="24" spans="2:4" ht="18" thickBot="1" x14ac:dyDescent="0.3">
      <c r="B24" s="184" t="s">
        <v>280</v>
      </c>
      <c r="C24" s="185">
        <f>(C19*C20)+(C21*C22)*C23</f>
        <v>0.45750000000000002</v>
      </c>
      <c r="D24" s="130" t="s">
        <v>323</v>
      </c>
    </row>
    <row r="25" spans="2:4" ht="15.6" thickTop="1" x14ac:dyDescent="0.25"/>
  </sheetData>
  <sheetProtection algorithmName="SHA-512" hashValue="wgJua1FggvlcxlHzkLC8AsToaWK7o7IcvliaM3ZFcpyIYN8y2xWmMydt/0IJsYJWpGlGt/iF22Vfe+nSVUMMBQ==" saltValue="x1+DbE+6RrZGhp8Jk160fw==" spinCount="100000" sheet="1" objects="1" scenarios="1"/>
  <hyperlinks>
    <hyperlink ref="B6" r:id="rId1" xr:uid="{848ED6EE-DA03-4F6D-B6E1-74E40109B8BC}"/>
    <hyperlink ref="B8" r:id="rId2" xr:uid="{32FB4E40-4EAB-4CFC-AF86-7476581D51BB}"/>
    <hyperlink ref="B14" r:id="rId3" xr:uid="{A026F7A0-6C92-4AB7-87DD-FEA875D95B01}"/>
    <hyperlink ref="B7" r:id="rId4" xr:uid="{E236C0C6-EAAD-4876-97F4-E6D79B36ACA9}"/>
    <hyperlink ref="D24" r:id="rId5" display="Discount.rate" xr:uid="{FC76CE72-6664-46E2-8539-321EC825E36E}"/>
  </hyperlinks>
  <pageMargins left="0.7" right="0.7" top="0.75" bottom="0.75" header="0.3" footer="0.3"/>
  <drawing r:id="rId6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255EF-8795-4A3D-BB2D-B862AFE3B03E}">
  <sheetPr codeName="Sheet11"/>
  <dimension ref="B2:G81"/>
  <sheetViews>
    <sheetView showGridLines="0" rightToLeft="1" workbookViewId="0">
      <selection activeCell="G6" sqref="G6"/>
    </sheetView>
  </sheetViews>
  <sheetFormatPr defaultRowHeight="17.399999999999999" x14ac:dyDescent="0.3"/>
  <cols>
    <col min="1" max="1" width="4.33203125" style="50" customWidth="1"/>
    <col min="2" max="2" width="25.88671875" style="50" bestFit="1" customWidth="1"/>
    <col min="3" max="3" width="16.44140625" style="50" bestFit="1" customWidth="1"/>
    <col min="4" max="4" width="16" style="50" bestFit="1" customWidth="1"/>
    <col min="5" max="5" width="8.88671875" style="50"/>
    <col min="6" max="6" width="18.21875" style="50" bestFit="1" customWidth="1"/>
    <col min="7" max="16384" width="8.88671875" style="50"/>
  </cols>
  <sheetData>
    <row r="2" spans="2:7" ht="25.2" thickBot="1" x14ac:dyDescent="0.35">
      <c r="B2" s="170" t="s">
        <v>229</v>
      </c>
      <c r="C2" s="169" t="str">
        <f>'SCENARIO-1 '!D2</f>
        <v>ABC</v>
      </c>
      <c r="D2" s="169"/>
      <c r="E2" s="169"/>
      <c r="F2" s="169"/>
    </row>
    <row r="3" spans="2:7" ht="18" thickTop="1" x14ac:dyDescent="0.3"/>
    <row r="4" spans="2:7" ht="23.4" thickBot="1" x14ac:dyDescent="0.35">
      <c r="B4" s="51" t="s">
        <v>65</v>
      </c>
      <c r="C4" s="51"/>
    </row>
    <row r="5" spans="2:7" ht="23.4" thickTop="1" x14ac:dyDescent="0.3">
      <c r="B5" s="119"/>
      <c r="C5" s="119"/>
    </row>
    <row r="6" spans="2:7" x14ac:dyDescent="0.3">
      <c r="B6" s="52" t="s">
        <v>9</v>
      </c>
      <c r="C6" s="53">
        <f>'SCENARIO-1 '!C36</f>
        <v>42</v>
      </c>
    </row>
    <row r="7" spans="2:7" ht="19.2" x14ac:dyDescent="0.3">
      <c r="B7" s="55" t="s">
        <v>217</v>
      </c>
      <c r="C7" s="56">
        <f>'SCENARIO-1 '!C176</f>
        <v>930000</v>
      </c>
    </row>
    <row r="8" spans="2:7" x14ac:dyDescent="0.3">
      <c r="B8" s="57"/>
      <c r="C8" s="57"/>
    </row>
    <row r="9" spans="2:7" ht="23.4" thickBot="1" x14ac:dyDescent="0.35">
      <c r="B9" s="51" t="s">
        <v>218</v>
      </c>
      <c r="C9" s="51"/>
    </row>
    <row r="10" spans="2:7" ht="23.4" thickTop="1" x14ac:dyDescent="0.3">
      <c r="B10" s="119"/>
      <c r="C10" s="119"/>
    </row>
    <row r="11" spans="2:7" x14ac:dyDescent="0.3">
      <c r="B11" s="52" t="s">
        <v>219</v>
      </c>
      <c r="C11" s="53">
        <f>'SCENARIO-1 '!F36</f>
        <v>360000.00000000006</v>
      </c>
    </row>
    <row r="12" spans="2:7" x14ac:dyDescent="0.3">
      <c r="B12" s="54" t="s">
        <v>186</v>
      </c>
      <c r="C12" s="53">
        <f>'SCENARIO-1 '!G36</f>
        <v>0</v>
      </c>
    </row>
    <row r="13" spans="2:7" x14ac:dyDescent="0.3">
      <c r="B13" s="54" t="s">
        <v>5</v>
      </c>
      <c r="C13" s="53">
        <f>'SCENARIO-1 '!I36</f>
        <v>126386.54031974702</v>
      </c>
      <c r="G13" s="64"/>
    </row>
    <row r="14" spans="2:7" x14ac:dyDescent="0.3">
      <c r="B14" s="52" t="s">
        <v>138</v>
      </c>
      <c r="C14" s="53">
        <f>'SCENARIO-1 '!J36</f>
        <v>6370</v>
      </c>
    </row>
    <row r="15" spans="2:7" x14ac:dyDescent="0.3">
      <c r="B15" s="54" t="s">
        <v>220</v>
      </c>
      <c r="C15" s="53">
        <f>'SCENARIO-1 '!K36</f>
        <v>17885.134838369646</v>
      </c>
    </row>
    <row r="16" spans="2:7" x14ac:dyDescent="0.3">
      <c r="B16" s="54" t="s">
        <v>86</v>
      </c>
      <c r="C16" s="53">
        <f>'SCENARIO-1 '!L36</f>
        <v>4620</v>
      </c>
    </row>
    <row r="17" spans="2:3" x14ac:dyDescent="0.3">
      <c r="B17" s="54" t="s">
        <v>221</v>
      </c>
      <c r="C17" s="53">
        <f>'SCENARIO-1 '!M36</f>
        <v>212.4143534785664</v>
      </c>
    </row>
    <row r="18" spans="2:3" x14ac:dyDescent="0.3">
      <c r="B18" s="54" t="s">
        <v>291</v>
      </c>
      <c r="C18" s="53">
        <f>'SCENARIO-1 '!E51</f>
        <v>0</v>
      </c>
    </row>
    <row r="19" spans="2:3" ht="19.2" x14ac:dyDescent="0.3">
      <c r="B19" s="55" t="s">
        <v>222</v>
      </c>
      <c r="C19" s="56">
        <f>SUM(C11:C18)</f>
        <v>515474.08951159532</v>
      </c>
    </row>
    <row r="20" spans="2:3" x14ac:dyDescent="0.3">
      <c r="B20" s="54" t="s">
        <v>227</v>
      </c>
      <c r="C20" s="53">
        <f>C19/C6</f>
        <v>12273.192607418936</v>
      </c>
    </row>
    <row r="21" spans="2:3" x14ac:dyDescent="0.3">
      <c r="B21" s="60"/>
      <c r="C21" s="61"/>
    </row>
    <row r="22" spans="2:3" ht="23.4" thickBot="1" x14ac:dyDescent="0.35">
      <c r="B22" s="178" t="s">
        <v>228</v>
      </c>
      <c r="C22" s="179">
        <f>C7-C19</f>
        <v>414525.91048840468</v>
      </c>
    </row>
    <row r="23" spans="2:3" ht="18" thickTop="1" x14ac:dyDescent="0.3">
      <c r="B23" s="57"/>
      <c r="C23" s="1"/>
    </row>
    <row r="24" spans="2:3" ht="23.4" thickBot="1" x14ac:dyDescent="0.35">
      <c r="B24" s="51" t="s">
        <v>230</v>
      </c>
      <c r="C24" s="59"/>
    </row>
    <row r="25" spans="2:3" ht="23.4" thickTop="1" x14ac:dyDescent="0.3">
      <c r="B25" s="119"/>
      <c r="C25" s="57"/>
    </row>
    <row r="26" spans="2:3" x14ac:dyDescent="0.3">
      <c r="B26" s="52" t="s">
        <v>224</v>
      </c>
      <c r="C26" s="53">
        <f>'SCENARIO-1 '!E57</f>
        <v>0</v>
      </c>
    </row>
    <row r="27" spans="2:3" x14ac:dyDescent="0.3">
      <c r="B27" s="52" t="s">
        <v>214</v>
      </c>
      <c r="C27" s="53">
        <f>'SCENARIO-1 '!G92</f>
        <v>60283.333333333328</v>
      </c>
    </row>
    <row r="28" spans="2:3" x14ac:dyDescent="0.3">
      <c r="B28" s="52" t="s">
        <v>215</v>
      </c>
      <c r="C28" s="53">
        <f>'SCENARIO-1 '!F98</f>
        <v>6028.333333333333</v>
      </c>
    </row>
    <row r="29" spans="2:3" x14ac:dyDescent="0.3">
      <c r="B29" s="52" t="s">
        <v>223</v>
      </c>
      <c r="C29" s="53">
        <f>'SCENARIO-1 '!$G$45</f>
        <v>148800</v>
      </c>
    </row>
    <row r="30" spans="2:3" x14ac:dyDescent="0.3">
      <c r="B30" s="52" t="s">
        <v>216</v>
      </c>
      <c r="C30" s="53">
        <f>'SCENARIO-1 '!C184</f>
        <v>16477.15625</v>
      </c>
    </row>
    <row r="31" spans="2:3" x14ac:dyDescent="0.3">
      <c r="B31" s="52" t="s">
        <v>225</v>
      </c>
      <c r="C31" s="53">
        <f>'SCENARIO-1 '!C190</f>
        <v>35181.120524535036</v>
      </c>
    </row>
    <row r="32" spans="2:3" x14ac:dyDescent="0.3">
      <c r="B32" s="54" t="s">
        <v>156</v>
      </c>
      <c r="C32" s="53">
        <f>'SCENARIO-1 '!C195</f>
        <v>41850</v>
      </c>
    </row>
    <row r="33" spans="2:4" ht="19.2" x14ac:dyDescent="0.3">
      <c r="B33" s="55" t="s">
        <v>222</v>
      </c>
      <c r="C33" s="56">
        <f>SUM(C26:C32)</f>
        <v>308619.9434412017</v>
      </c>
      <c r="D33" s="138"/>
    </row>
    <row r="34" spans="2:4" x14ac:dyDescent="0.3">
      <c r="B34" s="54" t="s">
        <v>227</v>
      </c>
      <c r="C34" s="53">
        <f>C33/C6</f>
        <v>7348.0938914571834</v>
      </c>
    </row>
    <row r="35" spans="2:4" x14ac:dyDescent="0.3">
      <c r="B35" s="57"/>
      <c r="C35" s="1"/>
    </row>
    <row r="36" spans="2:4" ht="23.4" thickBot="1" x14ac:dyDescent="0.35">
      <c r="B36" s="51" t="s">
        <v>76</v>
      </c>
      <c r="C36" s="58">
        <f>C19+C33</f>
        <v>824094.03295279702</v>
      </c>
      <c r="D36" s="138"/>
    </row>
    <row r="37" spans="2:4" ht="18" thickTop="1" x14ac:dyDescent="0.3">
      <c r="B37" s="57"/>
      <c r="C37" s="1"/>
    </row>
    <row r="38" spans="2:4" ht="23.4" thickBot="1" x14ac:dyDescent="0.35">
      <c r="B38" s="51" t="s">
        <v>231</v>
      </c>
      <c r="C38" s="62">
        <f>C19/C36</f>
        <v>0.62550397029888571</v>
      </c>
    </row>
    <row r="39" spans="2:4" ht="18" thickTop="1" x14ac:dyDescent="0.3">
      <c r="B39" s="57"/>
      <c r="C39" s="1"/>
    </row>
    <row r="40" spans="2:4" ht="23.4" thickBot="1" x14ac:dyDescent="0.35">
      <c r="B40" s="51" t="s">
        <v>232</v>
      </c>
      <c r="C40" s="62">
        <f>C33/C36</f>
        <v>0.37449602970111423</v>
      </c>
    </row>
    <row r="41" spans="2:4" ht="18" thickTop="1" x14ac:dyDescent="0.3">
      <c r="B41" s="57"/>
      <c r="C41" s="1"/>
    </row>
    <row r="42" spans="2:4" ht="23.4" thickBot="1" x14ac:dyDescent="0.35">
      <c r="B42" s="178" t="s">
        <v>233</v>
      </c>
      <c r="C42" s="180">
        <f>C22/C7</f>
        <v>0.44572678547140288</v>
      </c>
      <c r="D42" s="161"/>
    </row>
    <row r="43" spans="2:4" ht="18" thickTop="1" x14ac:dyDescent="0.3">
      <c r="B43" s="57"/>
      <c r="C43" s="1"/>
    </row>
    <row r="44" spans="2:4" ht="23.4" thickBot="1" x14ac:dyDescent="0.35">
      <c r="B44" s="178" t="s">
        <v>302</v>
      </c>
      <c r="C44" s="180">
        <f>C22/C46</f>
        <v>3.9140940028775506</v>
      </c>
      <c r="D44" s="181">
        <f>C44</f>
        <v>3.9140940028775506</v>
      </c>
    </row>
    <row r="45" spans="2:4" ht="18" thickTop="1" x14ac:dyDescent="0.3">
      <c r="B45" s="57"/>
      <c r="C45" s="1"/>
    </row>
    <row r="46" spans="2:4" ht="23.4" thickBot="1" x14ac:dyDescent="0.35">
      <c r="B46" s="51" t="s">
        <v>77</v>
      </c>
      <c r="C46" s="58">
        <f>C22-C33</f>
        <v>105905.96704720298</v>
      </c>
    </row>
    <row r="47" spans="2:4" ht="24" thickTop="1" thickBot="1" x14ac:dyDescent="0.35">
      <c r="B47" s="119"/>
      <c r="C47" s="58"/>
    </row>
    <row r="48" spans="2:4" ht="24" thickTop="1" thickBot="1" x14ac:dyDescent="0.35">
      <c r="C48" s="58">
        <f>'SCENARIO-1 '!C197</f>
        <v>105905.96704720298</v>
      </c>
    </row>
    <row r="49" spans="2:7" ht="18" thickTop="1" x14ac:dyDescent="0.3">
      <c r="C49" s="124">
        <f>C46-C48</f>
        <v>0</v>
      </c>
    </row>
    <row r="51" spans="2:7" ht="23.4" thickBot="1" x14ac:dyDescent="0.35">
      <c r="B51" s="51" t="s">
        <v>226</v>
      </c>
      <c r="C51" s="58">
        <f>C46+C32</f>
        <v>147755.96704720298</v>
      </c>
    </row>
    <row r="52" spans="2:7" ht="18" thickTop="1" x14ac:dyDescent="0.3">
      <c r="C52" s="181">
        <f>C22/C51</f>
        <v>2.8054766164264473</v>
      </c>
    </row>
    <row r="55" spans="2:7" ht="18" thickBot="1" x14ac:dyDescent="0.35">
      <c r="B55" s="242"/>
      <c r="C55" s="242"/>
      <c r="D55" s="242"/>
      <c r="E55" s="242"/>
      <c r="F55" s="242"/>
      <c r="G55" s="242"/>
    </row>
    <row r="57" spans="2:7" x14ac:dyDescent="0.3">
      <c r="B57" s="239" t="s">
        <v>399</v>
      </c>
    </row>
    <row r="59" spans="2:7" x14ac:dyDescent="0.3">
      <c r="B59" s="239" t="s">
        <v>9</v>
      </c>
      <c r="C59" s="240">
        <f>C6</f>
        <v>42</v>
      </c>
    </row>
    <row r="61" spans="2:7" x14ac:dyDescent="0.3">
      <c r="B61" s="239" t="s">
        <v>230</v>
      </c>
      <c r="C61" s="241">
        <f>C33-C32</f>
        <v>266769.9434412017</v>
      </c>
    </row>
    <row r="62" spans="2:7" x14ac:dyDescent="0.3">
      <c r="B62" s="239" t="s">
        <v>395</v>
      </c>
      <c r="C62" s="241">
        <f>C20</f>
        <v>12273.192607418936</v>
      </c>
    </row>
    <row r="63" spans="2:7" x14ac:dyDescent="0.3">
      <c r="B63" s="239" t="s">
        <v>396</v>
      </c>
      <c r="C63" s="241">
        <f>C7/C6</f>
        <v>22142.857142857141</v>
      </c>
    </row>
    <row r="67" spans="2:6" x14ac:dyDescent="0.3">
      <c r="B67" s="239" t="s">
        <v>9</v>
      </c>
      <c r="C67" s="239" t="s">
        <v>230</v>
      </c>
      <c r="D67" s="239" t="s">
        <v>397</v>
      </c>
      <c r="E67" s="239"/>
      <c r="F67" s="239" t="s">
        <v>398</v>
      </c>
    </row>
    <row r="68" spans="2:6" x14ac:dyDescent="0.3">
      <c r="B68" s="50">
        <v>0</v>
      </c>
      <c r="C68" s="238">
        <f t="shared" ref="C68:C73" si="0">$C$61</f>
        <v>266769.9434412017</v>
      </c>
      <c r="D68" s="238">
        <f t="shared" ref="D68:D73" si="1">$C$68+(B68*$C$62)</f>
        <v>266769.9434412017</v>
      </c>
      <c r="E68" s="238"/>
      <c r="F68" s="238">
        <f t="shared" ref="F68:F73" si="2">B68*$C$63</f>
        <v>0</v>
      </c>
    </row>
    <row r="69" spans="2:6" x14ac:dyDescent="0.3">
      <c r="B69" s="50">
        <f>ROUNDUP($C$59*0.25,0)</f>
        <v>11</v>
      </c>
      <c r="C69" s="238">
        <f t="shared" si="0"/>
        <v>266769.9434412017</v>
      </c>
      <c r="D69" s="238">
        <f t="shared" si="1"/>
        <v>401775.06212280999</v>
      </c>
      <c r="E69" s="238"/>
      <c r="F69" s="238">
        <f t="shared" si="2"/>
        <v>243571.42857142855</v>
      </c>
    </row>
    <row r="70" spans="2:6" x14ac:dyDescent="0.3">
      <c r="B70" s="50">
        <f>ROUNDUP($C$59*0.5,0)</f>
        <v>21</v>
      </c>
      <c r="C70" s="238">
        <f t="shared" si="0"/>
        <v>266769.9434412017</v>
      </c>
      <c r="D70" s="238">
        <f t="shared" si="1"/>
        <v>524506.9881969993</v>
      </c>
      <c r="E70" s="238"/>
      <c r="F70" s="238">
        <f t="shared" si="2"/>
        <v>464999.99999999994</v>
      </c>
    </row>
    <row r="71" spans="2:6" x14ac:dyDescent="0.3">
      <c r="B71" s="260">
        <f>C77</f>
        <v>26.96723746655066</v>
      </c>
      <c r="C71" s="238">
        <f t="shared" si="0"/>
        <v>266769.9434412017</v>
      </c>
      <c r="D71" s="238">
        <f t="shared" si="1"/>
        <v>597744.04295818228</v>
      </c>
      <c r="E71" s="238"/>
      <c r="F71" s="238">
        <f t="shared" si="2"/>
        <v>597131.68675933604</v>
      </c>
    </row>
    <row r="72" spans="2:6" x14ac:dyDescent="0.3">
      <c r="B72" s="64">
        <f>C59</f>
        <v>42</v>
      </c>
      <c r="C72" s="238">
        <f t="shared" si="0"/>
        <v>266769.9434412017</v>
      </c>
      <c r="D72" s="238">
        <f t="shared" si="1"/>
        <v>782244.03295279702</v>
      </c>
      <c r="E72" s="238"/>
      <c r="F72" s="238">
        <f t="shared" si="2"/>
        <v>929999.99999999988</v>
      </c>
    </row>
    <row r="73" spans="2:6" x14ac:dyDescent="0.3">
      <c r="B73" s="50">
        <f>ROUNDUP(C59*1.2,0)</f>
        <v>51</v>
      </c>
      <c r="C73" s="238">
        <f t="shared" si="0"/>
        <v>266769.9434412017</v>
      </c>
      <c r="D73" s="238">
        <f t="shared" si="1"/>
        <v>892702.7664195674</v>
      </c>
      <c r="E73" s="238"/>
      <c r="F73" s="238">
        <f t="shared" si="2"/>
        <v>1129285.7142857143</v>
      </c>
    </row>
    <row r="77" spans="2:6" x14ac:dyDescent="0.3">
      <c r="B77" s="239" t="s">
        <v>9</v>
      </c>
      <c r="C77" s="243">
        <v>26.96723746655066</v>
      </c>
    </row>
    <row r="78" spans="2:6" x14ac:dyDescent="0.3">
      <c r="B78" s="244" t="s">
        <v>400</v>
      </c>
      <c r="C78" s="245">
        <f>C77*C63</f>
        <v>597131.68675933604</v>
      </c>
    </row>
    <row r="79" spans="2:6" x14ac:dyDescent="0.3">
      <c r="B79" s="244" t="s">
        <v>401</v>
      </c>
      <c r="C79" s="246">
        <f>C77*C62</f>
        <v>330974.09951698052</v>
      </c>
    </row>
    <row r="80" spans="2:6" x14ac:dyDescent="0.3">
      <c r="B80" s="244" t="s">
        <v>402</v>
      </c>
      <c r="C80" s="245">
        <f>C61</f>
        <v>266769.9434412017</v>
      </c>
    </row>
    <row r="81" spans="2:3" x14ac:dyDescent="0.3">
      <c r="B81" s="244" t="s">
        <v>403</v>
      </c>
      <c r="C81" s="246">
        <f>C78-C79-C80</f>
        <v>-612.35619884618791</v>
      </c>
    </row>
  </sheetData>
  <sheetProtection algorithmName="SHA-512" hashValue="kueyRKQTbBeVUBf2ZBlRqCdCLq9VXjWcGR6Un1jbCPT6hv7F7Wri/T3l88NlxC5aZWfyhF67dPxde4/SB+s6qQ==" saltValue="xa/uRr+C/GocaZOB1Hwr1A==" spinCount="100000" sheet="1" objects="1" scenarios="1"/>
  <conditionalFormatting sqref="C49">
    <cfRule type="iconSet" priority="3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F4CBD995-4938-4276-AE7F-18FF8F8E2923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10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C49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F0435-A8A5-4065-819B-9A359CFB6AD7}">
  <sheetPr codeName="Sheet12"/>
  <dimension ref="B2:F28"/>
  <sheetViews>
    <sheetView showGridLines="0" rightToLeft="1" workbookViewId="0">
      <selection activeCell="F9" sqref="F9"/>
    </sheetView>
  </sheetViews>
  <sheetFormatPr defaultRowHeight="14.4" x14ac:dyDescent="0.3"/>
  <cols>
    <col min="1" max="1" width="2.77734375" customWidth="1"/>
    <col min="2" max="2" width="32" bestFit="1" customWidth="1"/>
    <col min="3" max="4" width="19.6640625" bestFit="1" customWidth="1"/>
    <col min="5" max="5" width="17.5546875" bestFit="1" customWidth="1"/>
  </cols>
  <sheetData>
    <row r="2" spans="2:6" ht="25.2" thickBot="1" x14ac:dyDescent="0.35">
      <c r="B2" s="169" t="s">
        <v>425</v>
      </c>
      <c r="C2" s="263"/>
      <c r="D2" s="263"/>
      <c r="E2" s="263"/>
      <c r="F2" s="263"/>
    </row>
    <row r="3" spans="2:6" ht="25.2" thickTop="1" x14ac:dyDescent="0.3">
      <c r="B3" s="263"/>
      <c r="C3" s="263"/>
      <c r="D3" s="263"/>
      <c r="E3" s="263"/>
      <c r="F3" s="263"/>
    </row>
    <row r="4" spans="2:6" ht="15.6" x14ac:dyDescent="0.3">
      <c r="C4" s="217">
        <v>1</v>
      </c>
    </row>
    <row r="6" spans="2:6" ht="15.6" x14ac:dyDescent="0.3">
      <c r="C6" s="217">
        <v>1</v>
      </c>
    </row>
    <row r="8" spans="2:6" ht="18" x14ac:dyDescent="0.3">
      <c r="B8" s="211" t="s">
        <v>161</v>
      </c>
      <c r="C8" s="264">
        <v>0.2</v>
      </c>
      <c r="D8" s="261"/>
      <c r="E8" s="261"/>
    </row>
    <row r="9" spans="2:6" ht="18" x14ac:dyDescent="0.3">
      <c r="B9" s="211" t="s">
        <v>418</v>
      </c>
      <c r="C9" s="264">
        <f>C8*(1-22.5%)</f>
        <v>0.15500000000000003</v>
      </c>
      <c r="D9" s="261"/>
      <c r="E9" s="261"/>
    </row>
    <row r="10" spans="2:6" ht="18" x14ac:dyDescent="0.3">
      <c r="B10" s="211" t="s">
        <v>419</v>
      </c>
      <c r="C10" s="264">
        <v>0.25</v>
      </c>
      <c r="D10" s="261"/>
      <c r="E10" s="261"/>
    </row>
    <row r="11" spans="2:6" ht="18" x14ac:dyDescent="0.3">
      <c r="B11" s="211" t="s">
        <v>417</v>
      </c>
      <c r="C11" s="212">
        <f>COUNT(B15:B17)*12</f>
        <v>36</v>
      </c>
    </row>
    <row r="12" spans="2:6" ht="18" x14ac:dyDescent="0.3">
      <c r="B12" s="23"/>
      <c r="C12" s="197"/>
    </row>
    <row r="14" spans="2:6" ht="17.399999999999999" x14ac:dyDescent="0.3">
      <c r="B14" s="211" t="s">
        <v>415</v>
      </c>
      <c r="C14" s="211" t="s">
        <v>416</v>
      </c>
    </row>
    <row r="15" spans="2:6" ht="17.399999999999999" x14ac:dyDescent="0.3">
      <c r="B15" s="211">
        <v>1</v>
      </c>
      <c r="C15" s="265">
        <f>-'P&amp;L'!C11</f>
        <v>723400</v>
      </c>
      <c r="D15" s="265">
        <f>C15*CHOOSE($C$4,INPUTS!$D$28,INPUTS!$D$29)</f>
        <v>162765</v>
      </c>
      <c r="E15" s="265">
        <f>-PV(CHOOSE($C$6,$C$8,$C$9),B15,D15)</f>
        <v>135637.49999999997</v>
      </c>
    </row>
    <row r="16" spans="2:6" ht="17.399999999999999" x14ac:dyDescent="0.3">
      <c r="B16" s="211">
        <v>2</v>
      </c>
      <c r="C16" s="265">
        <f>-'P&amp;L'!D11</f>
        <v>723400</v>
      </c>
      <c r="D16" s="265">
        <f>C16*CHOOSE($C$4,INPUTS!$D$28,INPUTS!$D$29)</f>
        <v>162765</v>
      </c>
      <c r="E16" s="265">
        <f t="shared" ref="E16:E17" si="0">-PV(CHOOSE($C$6,$C$8,$C$9),B16,D16)</f>
        <v>248668.74999999997</v>
      </c>
    </row>
    <row r="17" spans="2:5" ht="17.399999999999999" x14ac:dyDescent="0.3">
      <c r="B17" s="211">
        <v>3</v>
      </c>
      <c r="C17" s="265">
        <f>-'P&amp;L'!E11</f>
        <v>723400</v>
      </c>
      <c r="D17" s="265">
        <f>C17*CHOOSE($C$4,INPUTS!$D$28,INPUTS!$D$29)</f>
        <v>162765</v>
      </c>
      <c r="E17" s="265">
        <f t="shared" si="0"/>
        <v>342861.45833333331</v>
      </c>
    </row>
    <row r="18" spans="2:5" ht="17.399999999999999" x14ac:dyDescent="0.3">
      <c r="B18" s="211" t="s">
        <v>424</v>
      </c>
      <c r="C18" s="265">
        <f>SUM(C15:C17)</f>
        <v>2170200</v>
      </c>
      <c r="D18" s="265"/>
      <c r="E18" s="265">
        <f>SUM(E15:E17)</f>
        <v>727167.70833333326</v>
      </c>
    </row>
    <row r="19" spans="2:5" x14ac:dyDescent="0.3">
      <c r="C19" s="262"/>
      <c r="D19" s="262"/>
    </row>
    <row r="20" spans="2:5" ht="17.399999999999999" x14ac:dyDescent="0.3">
      <c r="B20" s="211" t="s">
        <v>420</v>
      </c>
      <c r="C20" s="265">
        <f>C18-E18</f>
        <v>1443032.2916666667</v>
      </c>
      <c r="D20" s="211"/>
    </row>
    <row r="21" spans="2:5" ht="17.399999999999999" x14ac:dyDescent="0.3">
      <c r="B21" s="211" t="s">
        <v>422</v>
      </c>
      <c r="C21" s="268">
        <f>-PMT(C10/12,C11,C20,,1)</f>
        <v>56203.800182749168</v>
      </c>
      <c r="D21" s="265">
        <f>C21*36</f>
        <v>2023336.80657897</v>
      </c>
    </row>
    <row r="22" spans="2:5" ht="17.399999999999999" x14ac:dyDescent="0.3">
      <c r="B22" s="211" t="s">
        <v>421</v>
      </c>
      <c r="C22" s="265">
        <f>IFERROR(C21/CHOOSE($C$4,INPUTS!E28,INPUTS!D29),0)</f>
        <v>72521.03249386989</v>
      </c>
      <c r="D22" s="266"/>
    </row>
    <row r="24" spans="2:5" ht="17.399999999999999" x14ac:dyDescent="0.3">
      <c r="B24" s="211" t="s">
        <v>428</v>
      </c>
      <c r="C24" s="265">
        <f>F.O!E26</f>
        <v>78837.098657320588</v>
      </c>
    </row>
    <row r="25" spans="2:5" ht="17.399999999999999" x14ac:dyDescent="0.3">
      <c r="B25" s="211" t="s">
        <v>429</v>
      </c>
      <c r="C25" s="265">
        <f>-PV($C$10/12,C11,C24,,1)</f>
        <v>2024142.1180403053</v>
      </c>
      <c r="D25" s="270">
        <f>C25/C18</f>
        <v>0.93269842320537522</v>
      </c>
    </row>
    <row r="27" spans="2:5" ht="17.399999999999999" x14ac:dyDescent="0.3">
      <c r="B27" s="211" t="s">
        <v>426</v>
      </c>
      <c r="C27" s="265">
        <f>C18*0.8</f>
        <v>1736160</v>
      </c>
    </row>
    <row r="28" spans="2:5" ht="17.399999999999999" x14ac:dyDescent="0.3">
      <c r="B28" s="211" t="s">
        <v>427</v>
      </c>
      <c r="C28" s="269">
        <f>-PMT($C$10/12,$C$11,C27,,1)</f>
        <v>67620.655676790644</v>
      </c>
    </row>
  </sheetData>
  <sheetProtection algorithmName="SHA-512" hashValue="V6ztUVlsebtfYGFAHqN8Z380WHYAVqeN/tdC8GBtqEumk1CRNGe6NAhGvLh+cvKQE9H7zcs0YKO0ORyKIGaPeg==" saltValue="OJZpdWf/jPeQUTITkXIusQ==" spinCount="100000" sheet="1" objects="1" scenarios="1"/>
  <conditionalFormatting sqref="D25">
    <cfRule type="expression" dxfId="0" priority="1">
      <formula>$D$25&gt;=90%</formula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AF97ED41-A602-4111-956B-9DB385632C00}">
            <xm:f>$C$21&lt;=F.O!$E$26</xm:f>
            <x14:dxf>
              <font>
                <color theme="4" tint="-0.24994659260841701"/>
              </font>
            </x14:dxf>
          </x14:cfRule>
          <xm:sqref>C21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F536B54-42DE-447A-BA34-2115F7F824D2}">
          <x14:formula1>
            <xm:f>INPUTS!$C$28:$C$29</xm:f>
          </x14:formula1>
          <xm:sqref>C4 C6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650E-F900-48C7-8336-FCCEC6FAB454}">
  <sheetPr codeName="Sheet13"/>
  <dimension ref="B2:K133"/>
  <sheetViews>
    <sheetView rightToLeft="1" workbookViewId="0">
      <selection activeCell="H10" sqref="H10"/>
    </sheetView>
  </sheetViews>
  <sheetFormatPr defaultColWidth="9.109375" defaultRowHeight="15" x14ac:dyDescent="0.25"/>
  <cols>
    <col min="1" max="1" width="4" style="95" customWidth="1"/>
    <col min="2" max="2" width="30.44140625" style="95" bestFit="1" customWidth="1"/>
    <col min="3" max="3" width="12.44140625" style="105" bestFit="1" customWidth="1"/>
    <col min="4" max="4" width="13.77734375" style="95" bestFit="1" customWidth="1"/>
    <col min="5" max="5" width="12" style="95" bestFit="1" customWidth="1"/>
    <col min="6" max="6" width="11.21875" style="95" bestFit="1" customWidth="1"/>
    <col min="7" max="7" width="15.6640625" style="95" bestFit="1" customWidth="1"/>
    <col min="8" max="8" width="11" style="95" customWidth="1"/>
    <col min="9" max="16384" width="9.109375" style="95"/>
  </cols>
  <sheetData>
    <row r="2" spans="2:11" ht="21" x14ac:dyDescent="0.4">
      <c r="B2" s="111" t="s">
        <v>306</v>
      </c>
      <c r="C2" s="95"/>
    </row>
    <row r="3" spans="2:11" x14ac:dyDescent="0.25">
      <c r="C3" s="95"/>
    </row>
    <row r="4" spans="2:11" ht="15.6" x14ac:dyDescent="0.3">
      <c r="B4" s="113" t="s">
        <v>307</v>
      </c>
      <c r="C4" s="96">
        <v>36</v>
      </c>
      <c r="D4" s="114" t="s">
        <v>316</v>
      </c>
    </row>
    <row r="5" spans="2:11" ht="15.6" x14ac:dyDescent="0.3">
      <c r="B5" s="113" t="s">
        <v>308</v>
      </c>
      <c r="C5" s="97">
        <v>0.2</v>
      </c>
      <c r="D5" s="114" t="s">
        <v>316</v>
      </c>
    </row>
    <row r="6" spans="2:11" ht="15.6" x14ac:dyDescent="0.3">
      <c r="B6" s="113" t="s">
        <v>309</v>
      </c>
      <c r="C6" s="98">
        <f>C5/12</f>
        <v>1.6666666666666666E-2</v>
      </c>
      <c r="D6" s="114"/>
    </row>
    <row r="7" spans="2:11" ht="15.6" x14ac:dyDescent="0.3">
      <c r="B7" s="113" t="s">
        <v>404</v>
      </c>
      <c r="C7" s="96">
        <v>0</v>
      </c>
      <c r="D7" s="114" t="s">
        <v>316</v>
      </c>
      <c r="H7" s="99"/>
    </row>
    <row r="8" spans="2:11" ht="15.6" x14ac:dyDescent="0.3">
      <c r="B8" s="100"/>
      <c r="C8" s="101"/>
      <c r="D8" s="101"/>
      <c r="E8" s="101"/>
      <c r="H8" s="100"/>
      <c r="I8" s="101"/>
      <c r="J8" s="101"/>
      <c r="K8" s="101"/>
    </row>
    <row r="9" spans="2:11" ht="17.399999999999999" x14ac:dyDescent="0.3">
      <c r="B9" s="112" t="s">
        <v>315</v>
      </c>
      <c r="C9" s="102">
        <f>-PMT(C6,C4,C7)</f>
        <v>0</v>
      </c>
      <c r="D9" s="103">
        <f>C9*12</f>
        <v>0</v>
      </c>
      <c r="E9" s="101" t="s">
        <v>317</v>
      </c>
      <c r="H9" s="105"/>
      <c r="I9" s="104"/>
      <c r="J9" s="104"/>
      <c r="K9" s="104"/>
    </row>
    <row r="10" spans="2:11" x14ac:dyDescent="0.25">
      <c r="B10" s="105"/>
      <c r="C10" s="104"/>
      <c r="D10" s="106"/>
      <c r="E10" s="106"/>
      <c r="H10" s="105"/>
      <c r="I10" s="106"/>
      <c r="J10" s="106"/>
    </row>
    <row r="11" spans="2:11" x14ac:dyDescent="0.25">
      <c r="C11" s="95"/>
      <c r="D11" s="107"/>
      <c r="E11" s="107"/>
    </row>
    <row r="12" spans="2:11" ht="15.6" x14ac:dyDescent="0.3">
      <c r="B12" s="99"/>
      <c r="C12" s="95"/>
    </row>
    <row r="13" spans="2:11" ht="15.6" x14ac:dyDescent="0.3">
      <c r="B13" s="94"/>
      <c r="C13" s="109" t="s">
        <v>310</v>
      </c>
      <c r="D13" s="110" t="s">
        <v>311</v>
      </c>
      <c r="E13" s="110" t="s">
        <v>312</v>
      </c>
      <c r="F13" s="110" t="s">
        <v>313</v>
      </c>
      <c r="G13" s="110" t="s">
        <v>314</v>
      </c>
      <c r="H13" s="106"/>
      <c r="I13" s="106"/>
      <c r="J13" s="106"/>
    </row>
    <row r="14" spans="2:11" x14ac:dyDescent="0.25">
      <c r="B14" s="104"/>
      <c r="C14" s="105">
        <v>1</v>
      </c>
      <c r="D14" s="108">
        <f>$C$9</f>
        <v>0</v>
      </c>
      <c r="E14" s="108">
        <f>C7*C6</f>
        <v>0</v>
      </c>
      <c r="F14" s="108">
        <f>D14-E14</f>
        <v>0</v>
      </c>
      <c r="G14" s="108">
        <f>C7-F14</f>
        <v>0</v>
      </c>
    </row>
    <row r="15" spans="2:11" x14ac:dyDescent="0.25">
      <c r="B15" s="104"/>
      <c r="C15" s="105">
        <v>2</v>
      </c>
      <c r="D15" s="108">
        <f t="shared" ref="D15:D78" si="0">$C$9</f>
        <v>0</v>
      </c>
      <c r="E15" s="108">
        <f>G14*$C$6</f>
        <v>0</v>
      </c>
      <c r="F15" s="108">
        <f>D15-E15</f>
        <v>0</v>
      </c>
      <c r="G15" s="108">
        <f>G14-F15</f>
        <v>0</v>
      </c>
    </row>
    <row r="16" spans="2:11" x14ac:dyDescent="0.25">
      <c r="B16" s="104"/>
      <c r="C16" s="105">
        <v>3</v>
      </c>
      <c r="D16" s="108">
        <f t="shared" si="0"/>
        <v>0</v>
      </c>
      <c r="E16" s="108">
        <f t="shared" ref="E16:E79" si="1">G15*$C$6</f>
        <v>0</v>
      </c>
      <c r="F16" s="108">
        <f t="shared" ref="F16:F79" si="2">D16-E16</f>
        <v>0</v>
      </c>
      <c r="G16" s="108">
        <f t="shared" ref="G16:G79" si="3">G15-F16</f>
        <v>0</v>
      </c>
    </row>
    <row r="17" spans="3:7" x14ac:dyDescent="0.25">
      <c r="C17" s="105">
        <v>4</v>
      </c>
      <c r="D17" s="108">
        <f t="shared" si="0"/>
        <v>0</v>
      </c>
      <c r="E17" s="108">
        <f t="shared" si="1"/>
        <v>0</v>
      </c>
      <c r="F17" s="108">
        <f t="shared" si="2"/>
        <v>0</v>
      </c>
      <c r="G17" s="108">
        <f t="shared" si="3"/>
        <v>0</v>
      </c>
    </row>
    <row r="18" spans="3:7" x14ac:dyDescent="0.25">
      <c r="C18" s="105">
        <v>5</v>
      </c>
      <c r="D18" s="108">
        <f t="shared" si="0"/>
        <v>0</v>
      </c>
      <c r="E18" s="108">
        <f t="shared" si="1"/>
        <v>0</v>
      </c>
      <c r="F18" s="108">
        <f t="shared" si="2"/>
        <v>0</v>
      </c>
      <c r="G18" s="108">
        <f t="shared" si="3"/>
        <v>0</v>
      </c>
    </row>
    <row r="19" spans="3:7" x14ac:dyDescent="0.25">
      <c r="C19" s="105">
        <v>6</v>
      </c>
      <c r="D19" s="108">
        <f t="shared" si="0"/>
        <v>0</v>
      </c>
      <c r="E19" s="108">
        <f t="shared" si="1"/>
        <v>0</v>
      </c>
      <c r="F19" s="108">
        <f t="shared" si="2"/>
        <v>0</v>
      </c>
      <c r="G19" s="108">
        <f t="shared" si="3"/>
        <v>0</v>
      </c>
    </row>
    <row r="20" spans="3:7" x14ac:dyDescent="0.25">
      <c r="C20" s="105">
        <v>7</v>
      </c>
      <c r="D20" s="108">
        <f t="shared" si="0"/>
        <v>0</v>
      </c>
      <c r="E20" s="108">
        <f t="shared" si="1"/>
        <v>0</v>
      </c>
      <c r="F20" s="108">
        <f t="shared" si="2"/>
        <v>0</v>
      </c>
      <c r="G20" s="108">
        <f t="shared" si="3"/>
        <v>0</v>
      </c>
    </row>
    <row r="21" spans="3:7" x14ac:dyDescent="0.25">
      <c r="C21" s="105">
        <v>8</v>
      </c>
      <c r="D21" s="108">
        <f t="shared" si="0"/>
        <v>0</v>
      </c>
      <c r="E21" s="108">
        <f t="shared" si="1"/>
        <v>0</v>
      </c>
      <c r="F21" s="108">
        <f t="shared" si="2"/>
        <v>0</v>
      </c>
      <c r="G21" s="108">
        <f t="shared" si="3"/>
        <v>0</v>
      </c>
    </row>
    <row r="22" spans="3:7" x14ac:dyDescent="0.25">
      <c r="C22" s="105">
        <v>9</v>
      </c>
      <c r="D22" s="108">
        <f t="shared" si="0"/>
        <v>0</v>
      </c>
      <c r="E22" s="108">
        <f t="shared" si="1"/>
        <v>0</v>
      </c>
      <c r="F22" s="108">
        <f t="shared" si="2"/>
        <v>0</v>
      </c>
      <c r="G22" s="108">
        <f t="shared" si="3"/>
        <v>0</v>
      </c>
    </row>
    <row r="23" spans="3:7" x14ac:dyDescent="0.25">
      <c r="C23" s="105">
        <v>10</v>
      </c>
      <c r="D23" s="108">
        <f t="shared" si="0"/>
        <v>0</v>
      </c>
      <c r="E23" s="108">
        <f t="shared" si="1"/>
        <v>0</v>
      </c>
      <c r="F23" s="108">
        <f t="shared" si="2"/>
        <v>0</v>
      </c>
      <c r="G23" s="108">
        <f t="shared" si="3"/>
        <v>0</v>
      </c>
    </row>
    <row r="24" spans="3:7" x14ac:dyDescent="0.25">
      <c r="C24" s="105">
        <v>11</v>
      </c>
      <c r="D24" s="108">
        <f t="shared" si="0"/>
        <v>0</v>
      </c>
      <c r="E24" s="108">
        <f t="shared" si="1"/>
        <v>0</v>
      </c>
      <c r="F24" s="108">
        <f t="shared" si="2"/>
        <v>0</v>
      </c>
      <c r="G24" s="108">
        <f t="shared" si="3"/>
        <v>0</v>
      </c>
    </row>
    <row r="25" spans="3:7" x14ac:dyDescent="0.25">
      <c r="C25" s="105">
        <v>12</v>
      </c>
      <c r="D25" s="108">
        <f t="shared" si="0"/>
        <v>0</v>
      </c>
      <c r="E25" s="108">
        <f t="shared" si="1"/>
        <v>0</v>
      </c>
      <c r="F25" s="108">
        <f t="shared" si="2"/>
        <v>0</v>
      </c>
      <c r="G25" s="108">
        <f t="shared" si="3"/>
        <v>0</v>
      </c>
    </row>
    <row r="26" spans="3:7" x14ac:dyDescent="0.25">
      <c r="C26" s="105">
        <v>13</v>
      </c>
      <c r="D26" s="108">
        <f t="shared" si="0"/>
        <v>0</v>
      </c>
      <c r="E26" s="108">
        <f t="shared" si="1"/>
        <v>0</v>
      </c>
      <c r="F26" s="108">
        <f t="shared" si="2"/>
        <v>0</v>
      </c>
      <c r="G26" s="108">
        <f t="shared" si="3"/>
        <v>0</v>
      </c>
    </row>
    <row r="27" spans="3:7" x14ac:dyDescent="0.25">
      <c r="C27" s="105">
        <v>14</v>
      </c>
      <c r="D27" s="108">
        <f t="shared" si="0"/>
        <v>0</v>
      </c>
      <c r="E27" s="108">
        <f t="shared" si="1"/>
        <v>0</v>
      </c>
      <c r="F27" s="108">
        <f t="shared" si="2"/>
        <v>0</v>
      </c>
      <c r="G27" s="108">
        <f t="shared" si="3"/>
        <v>0</v>
      </c>
    </row>
    <row r="28" spans="3:7" x14ac:dyDescent="0.25">
      <c r="C28" s="105">
        <v>15</v>
      </c>
      <c r="D28" s="108">
        <f t="shared" si="0"/>
        <v>0</v>
      </c>
      <c r="E28" s="108">
        <f t="shared" si="1"/>
        <v>0</v>
      </c>
      <c r="F28" s="108">
        <f t="shared" si="2"/>
        <v>0</v>
      </c>
      <c r="G28" s="108">
        <f t="shared" si="3"/>
        <v>0</v>
      </c>
    </row>
    <row r="29" spans="3:7" x14ac:dyDescent="0.25">
      <c r="C29" s="105">
        <v>16</v>
      </c>
      <c r="D29" s="108">
        <f t="shared" si="0"/>
        <v>0</v>
      </c>
      <c r="E29" s="108">
        <f t="shared" si="1"/>
        <v>0</v>
      </c>
      <c r="F29" s="108">
        <f t="shared" si="2"/>
        <v>0</v>
      </c>
      <c r="G29" s="108">
        <f t="shared" si="3"/>
        <v>0</v>
      </c>
    </row>
    <row r="30" spans="3:7" x14ac:dyDescent="0.25">
      <c r="C30" s="105">
        <v>17</v>
      </c>
      <c r="D30" s="108">
        <f t="shared" si="0"/>
        <v>0</v>
      </c>
      <c r="E30" s="108">
        <f t="shared" si="1"/>
        <v>0</v>
      </c>
      <c r="F30" s="108">
        <f t="shared" si="2"/>
        <v>0</v>
      </c>
      <c r="G30" s="108">
        <f t="shared" si="3"/>
        <v>0</v>
      </c>
    </row>
    <row r="31" spans="3:7" x14ac:dyDescent="0.25">
      <c r="C31" s="105">
        <v>18</v>
      </c>
      <c r="D31" s="108">
        <f t="shared" si="0"/>
        <v>0</v>
      </c>
      <c r="E31" s="108">
        <f t="shared" si="1"/>
        <v>0</v>
      </c>
      <c r="F31" s="108">
        <f t="shared" si="2"/>
        <v>0</v>
      </c>
      <c r="G31" s="108">
        <f t="shared" si="3"/>
        <v>0</v>
      </c>
    </row>
    <row r="32" spans="3:7" x14ac:dyDescent="0.25">
      <c r="C32" s="105">
        <v>19</v>
      </c>
      <c r="D32" s="108">
        <f t="shared" si="0"/>
        <v>0</v>
      </c>
      <c r="E32" s="108">
        <f t="shared" si="1"/>
        <v>0</v>
      </c>
      <c r="F32" s="108">
        <f t="shared" si="2"/>
        <v>0</v>
      </c>
      <c r="G32" s="108">
        <f t="shared" si="3"/>
        <v>0</v>
      </c>
    </row>
    <row r="33" spans="3:7" x14ac:dyDescent="0.25">
      <c r="C33" s="105">
        <v>20</v>
      </c>
      <c r="D33" s="108">
        <f t="shared" si="0"/>
        <v>0</v>
      </c>
      <c r="E33" s="108">
        <f t="shared" si="1"/>
        <v>0</v>
      </c>
      <c r="F33" s="108">
        <f t="shared" si="2"/>
        <v>0</v>
      </c>
      <c r="G33" s="108">
        <f t="shared" si="3"/>
        <v>0</v>
      </c>
    </row>
    <row r="34" spans="3:7" x14ac:dyDescent="0.25">
      <c r="C34" s="105">
        <v>21</v>
      </c>
      <c r="D34" s="108">
        <f t="shared" si="0"/>
        <v>0</v>
      </c>
      <c r="E34" s="108">
        <f t="shared" si="1"/>
        <v>0</v>
      </c>
      <c r="F34" s="108">
        <f t="shared" si="2"/>
        <v>0</v>
      </c>
      <c r="G34" s="108">
        <f t="shared" si="3"/>
        <v>0</v>
      </c>
    </row>
    <row r="35" spans="3:7" x14ac:dyDescent="0.25">
      <c r="C35" s="105">
        <v>22</v>
      </c>
      <c r="D35" s="108">
        <f t="shared" si="0"/>
        <v>0</v>
      </c>
      <c r="E35" s="108">
        <f t="shared" si="1"/>
        <v>0</v>
      </c>
      <c r="F35" s="108">
        <f t="shared" si="2"/>
        <v>0</v>
      </c>
      <c r="G35" s="108">
        <f t="shared" si="3"/>
        <v>0</v>
      </c>
    </row>
    <row r="36" spans="3:7" x14ac:dyDescent="0.25">
      <c r="C36" s="105">
        <v>23</v>
      </c>
      <c r="D36" s="108">
        <f t="shared" si="0"/>
        <v>0</v>
      </c>
      <c r="E36" s="108">
        <f t="shared" si="1"/>
        <v>0</v>
      </c>
      <c r="F36" s="108">
        <f t="shared" si="2"/>
        <v>0</v>
      </c>
      <c r="G36" s="108">
        <f t="shared" si="3"/>
        <v>0</v>
      </c>
    </row>
    <row r="37" spans="3:7" x14ac:dyDescent="0.25">
      <c r="C37" s="105">
        <v>24</v>
      </c>
      <c r="D37" s="108">
        <f t="shared" si="0"/>
        <v>0</v>
      </c>
      <c r="E37" s="108">
        <f t="shared" si="1"/>
        <v>0</v>
      </c>
      <c r="F37" s="108">
        <f t="shared" si="2"/>
        <v>0</v>
      </c>
      <c r="G37" s="108">
        <f t="shared" si="3"/>
        <v>0</v>
      </c>
    </row>
    <row r="38" spans="3:7" x14ac:dyDescent="0.25">
      <c r="C38" s="105">
        <v>25</v>
      </c>
      <c r="D38" s="108">
        <f t="shared" si="0"/>
        <v>0</v>
      </c>
      <c r="E38" s="108">
        <f t="shared" si="1"/>
        <v>0</v>
      </c>
      <c r="F38" s="108">
        <f t="shared" si="2"/>
        <v>0</v>
      </c>
      <c r="G38" s="108">
        <f t="shared" si="3"/>
        <v>0</v>
      </c>
    </row>
    <row r="39" spans="3:7" x14ac:dyDescent="0.25">
      <c r="C39" s="105">
        <v>26</v>
      </c>
      <c r="D39" s="108">
        <f t="shared" si="0"/>
        <v>0</v>
      </c>
      <c r="E39" s="108">
        <f t="shared" si="1"/>
        <v>0</v>
      </c>
      <c r="F39" s="108">
        <f t="shared" si="2"/>
        <v>0</v>
      </c>
      <c r="G39" s="108">
        <f t="shared" si="3"/>
        <v>0</v>
      </c>
    </row>
    <row r="40" spans="3:7" x14ac:dyDescent="0.25">
      <c r="C40" s="105">
        <v>27</v>
      </c>
      <c r="D40" s="108">
        <f t="shared" si="0"/>
        <v>0</v>
      </c>
      <c r="E40" s="108">
        <f t="shared" si="1"/>
        <v>0</v>
      </c>
      <c r="F40" s="108">
        <f t="shared" si="2"/>
        <v>0</v>
      </c>
      <c r="G40" s="108">
        <f t="shared" si="3"/>
        <v>0</v>
      </c>
    </row>
    <row r="41" spans="3:7" x14ac:dyDescent="0.25">
      <c r="C41" s="105">
        <v>28</v>
      </c>
      <c r="D41" s="108">
        <f t="shared" si="0"/>
        <v>0</v>
      </c>
      <c r="E41" s="108">
        <f t="shared" si="1"/>
        <v>0</v>
      </c>
      <c r="F41" s="108">
        <f t="shared" si="2"/>
        <v>0</v>
      </c>
      <c r="G41" s="108">
        <f t="shared" si="3"/>
        <v>0</v>
      </c>
    </row>
    <row r="42" spans="3:7" x14ac:dyDescent="0.25">
      <c r="C42" s="105">
        <v>29</v>
      </c>
      <c r="D42" s="108">
        <f t="shared" si="0"/>
        <v>0</v>
      </c>
      <c r="E42" s="108">
        <f t="shared" si="1"/>
        <v>0</v>
      </c>
      <c r="F42" s="108">
        <f t="shared" si="2"/>
        <v>0</v>
      </c>
      <c r="G42" s="108">
        <f t="shared" si="3"/>
        <v>0</v>
      </c>
    </row>
    <row r="43" spans="3:7" x14ac:dyDescent="0.25">
      <c r="C43" s="105">
        <v>30</v>
      </c>
      <c r="D43" s="108">
        <f t="shared" si="0"/>
        <v>0</v>
      </c>
      <c r="E43" s="108">
        <f t="shared" si="1"/>
        <v>0</v>
      </c>
      <c r="F43" s="108">
        <f t="shared" si="2"/>
        <v>0</v>
      </c>
      <c r="G43" s="108">
        <f t="shared" si="3"/>
        <v>0</v>
      </c>
    </row>
    <row r="44" spans="3:7" x14ac:dyDescent="0.25">
      <c r="C44" s="105">
        <v>31</v>
      </c>
      <c r="D44" s="108">
        <f t="shared" si="0"/>
        <v>0</v>
      </c>
      <c r="E44" s="108">
        <f t="shared" si="1"/>
        <v>0</v>
      </c>
      <c r="F44" s="108">
        <f t="shared" si="2"/>
        <v>0</v>
      </c>
      <c r="G44" s="108">
        <f t="shared" si="3"/>
        <v>0</v>
      </c>
    </row>
    <row r="45" spans="3:7" x14ac:dyDescent="0.25">
      <c r="C45" s="105">
        <v>32</v>
      </c>
      <c r="D45" s="108">
        <f t="shared" si="0"/>
        <v>0</v>
      </c>
      <c r="E45" s="108">
        <f t="shared" si="1"/>
        <v>0</v>
      </c>
      <c r="F45" s="108">
        <f t="shared" si="2"/>
        <v>0</v>
      </c>
      <c r="G45" s="108">
        <f t="shared" si="3"/>
        <v>0</v>
      </c>
    </row>
    <row r="46" spans="3:7" x14ac:dyDescent="0.25">
      <c r="C46" s="105">
        <v>33</v>
      </c>
      <c r="D46" s="108">
        <f t="shared" si="0"/>
        <v>0</v>
      </c>
      <c r="E46" s="108">
        <f t="shared" si="1"/>
        <v>0</v>
      </c>
      <c r="F46" s="108">
        <f t="shared" si="2"/>
        <v>0</v>
      </c>
      <c r="G46" s="108">
        <f t="shared" si="3"/>
        <v>0</v>
      </c>
    </row>
    <row r="47" spans="3:7" x14ac:dyDescent="0.25">
      <c r="C47" s="105">
        <v>34</v>
      </c>
      <c r="D47" s="108">
        <f t="shared" si="0"/>
        <v>0</v>
      </c>
      <c r="E47" s="108">
        <f t="shared" si="1"/>
        <v>0</v>
      </c>
      <c r="F47" s="108">
        <f t="shared" si="2"/>
        <v>0</v>
      </c>
      <c r="G47" s="108">
        <f t="shared" si="3"/>
        <v>0</v>
      </c>
    </row>
    <row r="48" spans="3:7" x14ac:dyDescent="0.25">
      <c r="C48" s="105">
        <v>35</v>
      </c>
      <c r="D48" s="108">
        <f t="shared" si="0"/>
        <v>0</v>
      </c>
      <c r="E48" s="108">
        <f t="shared" si="1"/>
        <v>0</v>
      </c>
      <c r="F48" s="108">
        <f t="shared" si="2"/>
        <v>0</v>
      </c>
      <c r="G48" s="108">
        <f t="shared" si="3"/>
        <v>0</v>
      </c>
    </row>
    <row r="49" spans="3:7" x14ac:dyDescent="0.25">
      <c r="C49" s="105">
        <v>36</v>
      </c>
      <c r="D49" s="108">
        <f t="shared" si="0"/>
        <v>0</v>
      </c>
      <c r="E49" s="108">
        <f t="shared" si="1"/>
        <v>0</v>
      </c>
      <c r="F49" s="108">
        <f t="shared" si="2"/>
        <v>0</v>
      </c>
      <c r="G49" s="108">
        <f t="shared" si="3"/>
        <v>0</v>
      </c>
    </row>
    <row r="50" spans="3:7" hidden="1" x14ac:dyDescent="0.25">
      <c r="C50" s="105">
        <v>37</v>
      </c>
      <c r="D50" s="108">
        <f t="shared" si="0"/>
        <v>0</v>
      </c>
      <c r="E50" s="108">
        <f t="shared" si="1"/>
        <v>0</v>
      </c>
      <c r="F50" s="108">
        <f t="shared" si="2"/>
        <v>0</v>
      </c>
      <c r="G50" s="108">
        <f t="shared" si="3"/>
        <v>0</v>
      </c>
    </row>
    <row r="51" spans="3:7" hidden="1" x14ac:dyDescent="0.25">
      <c r="C51" s="105">
        <v>38</v>
      </c>
      <c r="D51" s="108">
        <f t="shared" si="0"/>
        <v>0</v>
      </c>
      <c r="E51" s="108">
        <f t="shared" si="1"/>
        <v>0</v>
      </c>
      <c r="F51" s="108">
        <f t="shared" si="2"/>
        <v>0</v>
      </c>
      <c r="G51" s="108">
        <f t="shared" si="3"/>
        <v>0</v>
      </c>
    </row>
    <row r="52" spans="3:7" hidden="1" x14ac:dyDescent="0.25">
      <c r="C52" s="105">
        <v>39</v>
      </c>
      <c r="D52" s="108">
        <f t="shared" si="0"/>
        <v>0</v>
      </c>
      <c r="E52" s="108">
        <f t="shared" si="1"/>
        <v>0</v>
      </c>
      <c r="F52" s="108">
        <f t="shared" si="2"/>
        <v>0</v>
      </c>
      <c r="G52" s="108">
        <f t="shared" si="3"/>
        <v>0</v>
      </c>
    </row>
    <row r="53" spans="3:7" hidden="1" x14ac:dyDescent="0.25">
      <c r="C53" s="105">
        <v>40</v>
      </c>
      <c r="D53" s="108">
        <f t="shared" si="0"/>
        <v>0</v>
      </c>
      <c r="E53" s="108">
        <f t="shared" si="1"/>
        <v>0</v>
      </c>
      <c r="F53" s="108">
        <f t="shared" si="2"/>
        <v>0</v>
      </c>
      <c r="G53" s="108">
        <f t="shared" si="3"/>
        <v>0</v>
      </c>
    </row>
    <row r="54" spans="3:7" hidden="1" x14ac:dyDescent="0.25">
      <c r="C54" s="105">
        <v>41</v>
      </c>
      <c r="D54" s="108">
        <f t="shared" si="0"/>
        <v>0</v>
      </c>
      <c r="E54" s="108">
        <f t="shared" si="1"/>
        <v>0</v>
      </c>
      <c r="F54" s="108">
        <f t="shared" si="2"/>
        <v>0</v>
      </c>
      <c r="G54" s="108">
        <f t="shared" si="3"/>
        <v>0</v>
      </c>
    </row>
    <row r="55" spans="3:7" hidden="1" x14ac:dyDescent="0.25">
      <c r="C55" s="105">
        <v>42</v>
      </c>
      <c r="D55" s="108">
        <f t="shared" si="0"/>
        <v>0</v>
      </c>
      <c r="E55" s="108">
        <f t="shared" si="1"/>
        <v>0</v>
      </c>
      <c r="F55" s="108">
        <f t="shared" si="2"/>
        <v>0</v>
      </c>
      <c r="G55" s="108">
        <f t="shared" si="3"/>
        <v>0</v>
      </c>
    </row>
    <row r="56" spans="3:7" hidden="1" x14ac:dyDescent="0.25">
      <c r="C56" s="105">
        <v>43</v>
      </c>
      <c r="D56" s="108">
        <f t="shared" si="0"/>
        <v>0</v>
      </c>
      <c r="E56" s="108">
        <f t="shared" si="1"/>
        <v>0</v>
      </c>
      <c r="F56" s="108">
        <f t="shared" si="2"/>
        <v>0</v>
      </c>
      <c r="G56" s="108">
        <f t="shared" si="3"/>
        <v>0</v>
      </c>
    </row>
    <row r="57" spans="3:7" hidden="1" x14ac:dyDescent="0.25">
      <c r="C57" s="105">
        <v>44</v>
      </c>
      <c r="D57" s="108">
        <f t="shared" si="0"/>
        <v>0</v>
      </c>
      <c r="E57" s="108">
        <f t="shared" si="1"/>
        <v>0</v>
      </c>
      <c r="F57" s="108">
        <f t="shared" si="2"/>
        <v>0</v>
      </c>
      <c r="G57" s="108">
        <f t="shared" si="3"/>
        <v>0</v>
      </c>
    </row>
    <row r="58" spans="3:7" hidden="1" x14ac:dyDescent="0.25">
      <c r="C58" s="105">
        <v>45</v>
      </c>
      <c r="D58" s="108">
        <f t="shared" si="0"/>
        <v>0</v>
      </c>
      <c r="E58" s="108">
        <f t="shared" si="1"/>
        <v>0</v>
      </c>
      <c r="F58" s="108">
        <f t="shared" si="2"/>
        <v>0</v>
      </c>
      <c r="G58" s="108">
        <f t="shared" si="3"/>
        <v>0</v>
      </c>
    </row>
    <row r="59" spans="3:7" hidden="1" x14ac:dyDescent="0.25">
      <c r="C59" s="105">
        <v>46</v>
      </c>
      <c r="D59" s="108">
        <f t="shared" si="0"/>
        <v>0</v>
      </c>
      <c r="E59" s="108">
        <f t="shared" si="1"/>
        <v>0</v>
      </c>
      <c r="F59" s="108">
        <f t="shared" si="2"/>
        <v>0</v>
      </c>
      <c r="G59" s="108">
        <f t="shared" si="3"/>
        <v>0</v>
      </c>
    </row>
    <row r="60" spans="3:7" hidden="1" x14ac:dyDescent="0.25">
      <c r="C60" s="105">
        <v>47</v>
      </c>
      <c r="D60" s="108">
        <f t="shared" si="0"/>
        <v>0</v>
      </c>
      <c r="E60" s="108">
        <f t="shared" si="1"/>
        <v>0</v>
      </c>
      <c r="F60" s="108">
        <f t="shared" si="2"/>
        <v>0</v>
      </c>
      <c r="G60" s="108">
        <f t="shared" si="3"/>
        <v>0</v>
      </c>
    </row>
    <row r="61" spans="3:7" hidden="1" x14ac:dyDescent="0.25">
      <c r="C61" s="105">
        <v>48</v>
      </c>
      <c r="D61" s="108">
        <f t="shared" si="0"/>
        <v>0</v>
      </c>
      <c r="E61" s="108">
        <f t="shared" si="1"/>
        <v>0</v>
      </c>
      <c r="F61" s="108">
        <f t="shared" si="2"/>
        <v>0</v>
      </c>
      <c r="G61" s="108">
        <f t="shared" si="3"/>
        <v>0</v>
      </c>
    </row>
    <row r="62" spans="3:7" hidden="1" x14ac:dyDescent="0.25">
      <c r="C62" s="105">
        <v>49</v>
      </c>
      <c r="D62" s="108">
        <f t="shared" si="0"/>
        <v>0</v>
      </c>
      <c r="E62" s="108">
        <f t="shared" si="1"/>
        <v>0</v>
      </c>
      <c r="F62" s="108">
        <f t="shared" si="2"/>
        <v>0</v>
      </c>
      <c r="G62" s="108">
        <f t="shared" si="3"/>
        <v>0</v>
      </c>
    </row>
    <row r="63" spans="3:7" hidden="1" x14ac:dyDescent="0.25">
      <c r="C63" s="105">
        <v>50</v>
      </c>
      <c r="D63" s="108">
        <f t="shared" si="0"/>
        <v>0</v>
      </c>
      <c r="E63" s="108">
        <f t="shared" si="1"/>
        <v>0</v>
      </c>
      <c r="F63" s="108">
        <f t="shared" si="2"/>
        <v>0</v>
      </c>
      <c r="G63" s="108">
        <f t="shared" si="3"/>
        <v>0</v>
      </c>
    </row>
    <row r="64" spans="3:7" hidden="1" x14ac:dyDescent="0.25">
      <c r="C64" s="105">
        <v>51</v>
      </c>
      <c r="D64" s="108">
        <f t="shared" si="0"/>
        <v>0</v>
      </c>
      <c r="E64" s="108">
        <f t="shared" si="1"/>
        <v>0</v>
      </c>
      <c r="F64" s="108">
        <f t="shared" si="2"/>
        <v>0</v>
      </c>
      <c r="G64" s="108">
        <f t="shared" si="3"/>
        <v>0</v>
      </c>
    </row>
    <row r="65" spans="3:7" hidden="1" x14ac:dyDescent="0.25">
      <c r="C65" s="105">
        <v>52</v>
      </c>
      <c r="D65" s="108">
        <f t="shared" si="0"/>
        <v>0</v>
      </c>
      <c r="E65" s="108">
        <f t="shared" si="1"/>
        <v>0</v>
      </c>
      <c r="F65" s="108">
        <f t="shared" si="2"/>
        <v>0</v>
      </c>
      <c r="G65" s="108">
        <f t="shared" si="3"/>
        <v>0</v>
      </c>
    </row>
    <row r="66" spans="3:7" hidden="1" x14ac:dyDescent="0.25">
      <c r="C66" s="105">
        <v>53</v>
      </c>
      <c r="D66" s="108">
        <f t="shared" si="0"/>
        <v>0</v>
      </c>
      <c r="E66" s="108">
        <f t="shared" si="1"/>
        <v>0</v>
      </c>
      <c r="F66" s="108">
        <f t="shared" si="2"/>
        <v>0</v>
      </c>
      <c r="G66" s="108">
        <f t="shared" si="3"/>
        <v>0</v>
      </c>
    </row>
    <row r="67" spans="3:7" hidden="1" x14ac:dyDescent="0.25">
      <c r="C67" s="105">
        <v>54</v>
      </c>
      <c r="D67" s="108">
        <f t="shared" si="0"/>
        <v>0</v>
      </c>
      <c r="E67" s="108">
        <f t="shared" si="1"/>
        <v>0</v>
      </c>
      <c r="F67" s="108">
        <f t="shared" si="2"/>
        <v>0</v>
      </c>
      <c r="G67" s="108">
        <f t="shared" si="3"/>
        <v>0</v>
      </c>
    </row>
    <row r="68" spans="3:7" hidden="1" x14ac:dyDescent="0.25">
      <c r="C68" s="105">
        <v>55</v>
      </c>
      <c r="D68" s="108">
        <f t="shared" si="0"/>
        <v>0</v>
      </c>
      <c r="E68" s="108">
        <f t="shared" si="1"/>
        <v>0</v>
      </c>
      <c r="F68" s="108">
        <f t="shared" si="2"/>
        <v>0</v>
      </c>
      <c r="G68" s="108">
        <f t="shared" si="3"/>
        <v>0</v>
      </c>
    </row>
    <row r="69" spans="3:7" hidden="1" x14ac:dyDescent="0.25">
      <c r="C69" s="105">
        <v>56</v>
      </c>
      <c r="D69" s="108">
        <f t="shared" si="0"/>
        <v>0</v>
      </c>
      <c r="E69" s="108">
        <f t="shared" si="1"/>
        <v>0</v>
      </c>
      <c r="F69" s="108">
        <f t="shared" si="2"/>
        <v>0</v>
      </c>
      <c r="G69" s="108">
        <f t="shared" si="3"/>
        <v>0</v>
      </c>
    </row>
    <row r="70" spans="3:7" hidden="1" x14ac:dyDescent="0.25">
      <c r="C70" s="105">
        <v>57</v>
      </c>
      <c r="D70" s="108">
        <f t="shared" si="0"/>
        <v>0</v>
      </c>
      <c r="E70" s="108">
        <f t="shared" si="1"/>
        <v>0</v>
      </c>
      <c r="F70" s="108">
        <f t="shared" si="2"/>
        <v>0</v>
      </c>
      <c r="G70" s="108">
        <f t="shared" si="3"/>
        <v>0</v>
      </c>
    </row>
    <row r="71" spans="3:7" hidden="1" x14ac:dyDescent="0.25">
      <c r="C71" s="105">
        <v>58</v>
      </c>
      <c r="D71" s="108">
        <f t="shared" si="0"/>
        <v>0</v>
      </c>
      <c r="E71" s="108">
        <f t="shared" si="1"/>
        <v>0</v>
      </c>
      <c r="F71" s="108">
        <f t="shared" si="2"/>
        <v>0</v>
      </c>
      <c r="G71" s="108">
        <f t="shared" si="3"/>
        <v>0</v>
      </c>
    </row>
    <row r="72" spans="3:7" hidden="1" x14ac:dyDescent="0.25">
      <c r="C72" s="105">
        <v>59</v>
      </c>
      <c r="D72" s="108">
        <f t="shared" si="0"/>
        <v>0</v>
      </c>
      <c r="E72" s="108">
        <f t="shared" si="1"/>
        <v>0</v>
      </c>
      <c r="F72" s="108">
        <f t="shared" si="2"/>
        <v>0</v>
      </c>
      <c r="G72" s="108">
        <f t="shared" si="3"/>
        <v>0</v>
      </c>
    </row>
    <row r="73" spans="3:7" hidden="1" x14ac:dyDescent="0.25">
      <c r="C73" s="105">
        <v>60</v>
      </c>
      <c r="D73" s="108">
        <f t="shared" si="0"/>
        <v>0</v>
      </c>
      <c r="E73" s="108">
        <f t="shared" si="1"/>
        <v>0</v>
      </c>
      <c r="F73" s="108">
        <f t="shared" si="2"/>
        <v>0</v>
      </c>
      <c r="G73" s="108">
        <f t="shared" si="3"/>
        <v>0</v>
      </c>
    </row>
    <row r="74" spans="3:7" hidden="1" x14ac:dyDescent="0.25">
      <c r="C74" s="105">
        <v>61</v>
      </c>
      <c r="D74" s="108">
        <f t="shared" si="0"/>
        <v>0</v>
      </c>
      <c r="E74" s="108">
        <f t="shared" si="1"/>
        <v>0</v>
      </c>
      <c r="F74" s="108">
        <f t="shared" si="2"/>
        <v>0</v>
      </c>
      <c r="G74" s="108">
        <f t="shared" si="3"/>
        <v>0</v>
      </c>
    </row>
    <row r="75" spans="3:7" hidden="1" x14ac:dyDescent="0.25">
      <c r="C75" s="105">
        <v>62</v>
      </c>
      <c r="D75" s="108">
        <f t="shared" si="0"/>
        <v>0</v>
      </c>
      <c r="E75" s="108">
        <f t="shared" si="1"/>
        <v>0</v>
      </c>
      <c r="F75" s="108">
        <f t="shared" si="2"/>
        <v>0</v>
      </c>
      <c r="G75" s="108">
        <f t="shared" si="3"/>
        <v>0</v>
      </c>
    </row>
    <row r="76" spans="3:7" hidden="1" x14ac:dyDescent="0.25">
      <c r="C76" s="105">
        <v>63</v>
      </c>
      <c r="D76" s="108">
        <f t="shared" si="0"/>
        <v>0</v>
      </c>
      <c r="E76" s="108">
        <f t="shared" si="1"/>
        <v>0</v>
      </c>
      <c r="F76" s="108">
        <f t="shared" si="2"/>
        <v>0</v>
      </c>
      <c r="G76" s="108">
        <f t="shared" si="3"/>
        <v>0</v>
      </c>
    </row>
    <row r="77" spans="3:7" hidden="1" x14ac:dyDescent="0.25">
      <c r="C77" s="105">
        <v>64</v>
      </c>
      <c r="D77" s="108">
        <f t="shared" si="0"/>
        <v>0</v>
      </c>
      <c r="E77" s="108">
        <f t="shared" si="1"/>
        <v>0</v>
      </c>
      <c r="F77" s="108">
        <f t="shared" si="2"/>
        <v>0</v>
      </c>
      <c r="G77" s="108">
        <f t="shared" si="3"/>
        <v>0</v>
      </c>
    </row>
    <row r="78" spans="3:7" hidden="1" x14ac:dyDescent="0.25">
      <c r="C78" s="105">
        <v>65</v>
      </c>
      <c r="D78" s="108">
        <f t="shared" si="0"/>
        <v>0</v>
      </c>
      <c r="E78" s="108">
        <f t="shared" si="1"/>
        <v>0</v>
      </c>
      <c r="F78" s="108">
        <f t="shared" si="2"/>
        <v>0</v>
      </c>
      <c r="G78" s="108">
        <f t="shared" si="3"/>
        <v>0</v>
      </c>
    </row>
    <row r="79" spans="3:7" hidden="1" x14ac:dyDescent="0.25">
      <c r="C79" s="105">
        <v>66</v>
      </c>
      <c r="D79" s="108">
        <f t="shared" ref="D79:D133" si="4">$C$9</f>
        <v>0</v>
      </c>
      <c r="E79" s="108">
        <f t="shared" si="1"/>
        <v>0</v>
      </c>
      <c r="F79" s="108">
        <f t="shared" si="2"/>
        <v>0</v>
      </c>
      <c r="G79" s="108">
        <f t="shared" si="3"/>
        <v>0</v>
      </c>
    </row>
    <row r="80" spans="3:7" hidden="1" x14ac:dyDescent="0.25">
      <c r="C80" s="105">
        <v>67</v>
      </c>
      <c r="D80" s="108">
        <f t="shared" si="4"/>
        <v>0</v>
      </c>
      <c r="E80" s="108">
        <f t="shared" ref="E80:E133" si="5">G79*$C$6</f>
        <v>0</v>
      </c>
      <c r="F80" s="108">
        <f t="shared" ref="F80:F133" si="6">D80-E80</f>
        <v>0</v>
      </c>
      <c r="G80" s="108">
        <f t="shared" ref="G80:G133" si="7">G79-F80</f>
        <v>0</v>
      </c>
    </row>
    <row r="81" spans="3:7" hidden="1" x14ac:dyDescent="0.25">
      <c r="C81" s="105">
        <v>68</v>
      </c>
      <c r="D81" s="108">
        <f t="shared" si="4"/>
        <v>0</v>
      </c>
      <c r="E81" s="108">
        <f t="shared" si="5"/>
        <v>0</v>
      </c>
      <c r="F81" s="108">
        <f t="shared" si="6"/>
        <v>0</v>
      </c>
      <c r="G81" s="108">
        <f t="shared" si="7"/>
        <v>0</v>
      </c>
    </row>
    <row r="82" spans="3:7" hidden="1" x14ac:dyDescent="0.25">
      <c r="C82" s="105">
        <v>69</v>
      </c>
      <c r="D82" s="108">
        <f t="shared" si="4"/>
        <v>0</v>
      </c>
      <c r="E82" s="108">
        <f t="shared" si="5"/>
        <v>0</v>
      </c>
      <c r="F82" s="108">
        <f t="shared" si="6"/>
        <v>0</v>
      </c>
      <c r="G82" s="108">
        <f t="shared" si="7"/>
        <v>0</v>
      </c>
    </row>
    <row r="83" spans="3:7" hidden="1" x14ac:dyDescent="0.25">
      <c r="C83" s="105">
        <v>70</v>
      </c>
      <c r="D83" s="108">
        <f t="shared" si="4"/>
        <v>0</v>
      </c>
      <c r="E83" s="108">
        <f t="shared" si="5"/>
        <v>0</v>
      </c>
      <c r="F83" s="108">
        <f t="shared" si="6"/>
        <v>0</v>
      </c>
      <c r="G83" s="108">
        <f t="shared" si="7"/>
        <v>0</v>
      </c>
    </row>
    <row r="84" spans="3:7" hidden="1" x14ac:dyDescent="0.25">
      <c r="C84" s="105">
        <v>71</v>
      </c>
      <c r="D84" s="108">
        <f t="shared" si="4"/>
        <v>0</v>
      </c>
      <c r="E84" s="108">
        <f t="shared" si="5"/>
        <v>0</v>
      </c>
      <c r="F84" s="108">
        <f t="shared" si="6"/>
        <v>0</v>
      </c>
      <c r="G84" s="108">
        <f t="shared" si="7"/>
        <v>0</v>
      </c>
    </row>
    <row r="85" spans="3:7" hidden="1" x14ac:dyDescent="0.25">
      <c r="C85" s="105">
        <v>72</v>
      </c>
      <c r="D85" s="108">
        <f t="shared" si="4"/>
        <v>0</v>
      </c>
      <c r="E85" s="108">
        <f t="shared" si="5"/>
        <v>0</v>
      </c>
      <c r="F85" s="108">
        <f t="shared" si="6"/>
        <v>0</v>
      </c>
      <c r="G85" s="108">
        <f t="shared" si="7"/>
        <v>0</v>
      </c>
    </row>
    <row r="86" spans="3:7" hidden="1" x14ac:dyDescent="0.25">
      <c r="C86" s="105">
        <v>73</v>
      </c>
      <c r="D86" s="108">
        <f t="shared" si="4"/>
        <v>0</v>
      </c>
      <c r="E86" s="108">
        <f t="shared" si="5"/>
        <v>0</v>
      </c>
      <c r="F86" s="108">
        <f t="shared" si="6"/>
        <v>0</v>
      </c>
      <c r="G86" s="108">
        <f t="shared" si="7"/>
        <v>0</v>
      </c>
    </row>
    <row r="87" spans="3:7" hidden="1" x14ac:dyDescent="0.25">
      <c r="C87" s="105">
        <v>74</v>
      </c>
      <c r="D87" s="108">
        <f t="shared" si="4"/>
        <v>0</v>
      </c>
      <c r="E87" s="108">
        <f t="shared" si="5"/>
        <v>0</v>
      </c>
      <c r="F87" s="108">
        <f t="shared" si="6"/>
        <v>0</v>
      </c>
      <c r="G87" s="108">
        <f t="shared" si="7"/>
        <v>0</v>
      </c>
    </row>
    <row r="88" spans="3:7" hidden="1" x14ac:dyDescent="0.25">
      <c r="C88" s="105">
        <v>75</v>
      </c>
      <c r="D88" s="108">
        <f t="shared" si="4"/>
        <v>0</v>
      </c>
      <c r="E88" s="108">
        <f t="shared" si="5"/>
        <v>0</v>
      </c>
      <c r="F88" s="108">
        <f t="shared" si="6"/>
        <v>0</v>
      </c>
      <c r="G88" s="108">
        <f t="shared" si="7"/>
        <v>0</v>
      </c>
    </row>
    <row r="89" spans="3:7" hidden="1" x14ac:dyDescent="0.25">
      <c r="C89" s="105">
        <v>76</v>
      </c>
      <c r="D89" s="108">
        <f t="shared" si="4"/>
        <v>0</v>
      </c>
      <c r="E89" s="108">
        <f t="shared" si="5"/>
        <v>0</v>
      </c>
      <c r="F89" s="108">
        <f t="shared" si="6"/>
        <v>0</v>
      </c>
      <c r="G89" s="108">
        <f t="shared" si="7"/>
        <v>0</v>
      </c>
    </row>
    <row r="90" spans="3:7" hidden="1" x14ac:dyDescent="0.25">
      <c r="C90" s="105">
        <v>77</v>
      </c>
      <c r="D90" s="108">
        <f t="shared" si="4"/>
        <v>0</v>
      </c>
      <c r="E90" s="108">
        <f t="shared" si="5"/>
        <v>0</v>
      </c>
      <c r="F90" s="108">
        <f t="shared" si="6"/>
        <v>0</v>
      </c>
      <c r="G90" s="108">
        <f t="shared" si="7"/>
        <v>0</v>
      </c>
    </row>
    <row r="91" spans="3:7" hidden="1" x14ac:dyDescent="0.25">
      <c r="C91" s="105">
        <v>78</v>
      </c>
      <c r="D91" s="108">
        <f t="shared" si="4"/>
        <v>0</v>
      </c>
      <c r="E91" s="108">
        <f t="shared" si="5"/>
        <v>0</v>
      </c>
      <c r="F91" s="108">
        <f t="shared" si="6"/>
        <v>0</v>
      </c>
      <c r="G91" s="108">
        <f t="shared" si="7"/>
        <v>0</v>
      </c>
    </row>
    <row r="92" spans="3:7" hidden="1" x14ac:dyDescent="0.25">
      <c r="C92" s="105">
        <v>79</v>
      </c>
      <c r="D92" s="108">
        <f t="shared" si="4"/>
        <v>0</v>
      </c>
      <c r="E92" s="108">
        <f t="shared" si="5"/>
        <v>0</v>
      </c>
      <c r="F92" s="108">
        <f t="shared" si="6"/>
        <v>0</v>
      </c>
      <c r="G92" s="108">
        <f t="shared" si="7"/>
        <v>0</v>
      </c>
    </row>
    <row r="93" spans="3:7" hidden="1" x14ac:dyDescent="0.25">
      <c r="C93" s="105">
        <v>80</v>
      </c>
      <c r="D93" s="108">
        <f t="shared" si="4"/>
        <v>0</v>
      </c>
      <c r="E93" s="108">
        <f t="shared" si="5"/>
        <v>0</v>
      </c>
      <c r="F93" s="108">
        <f t="shared" si="6"/>
        <v>0</v>
      </c>
      <c r="G93" s="108">
        <f t="shared" si="7"/>
        <v>0</v>
      </c>
    </row>
    <row r="94" spans="3:7" hidden="1" x14ac:dyDescent="0.25">
      <c r="C94" s="105">
        <v>81</v>
      </c>
      <c r="D94" s="108">
        <f t="shared" si="4"/>
        <v>0</v>
      </c>
      <c r="E94" s="108">
        <f t="shared" si="5"/>
        <v>0</v>
      </c>
      <c r="F94" s="108">
        <f t="shared" si="6"/>
        <v>0</v>
      </c>
      <c r="G94" s="108">
        <f t="shared" si="7"/>
        <v>0</v>
      </c>
    </row>
    <row r="95" spans="3:7" hidden="1" x14ac:dyDescent="0.25">
      <c r="C95" s="105">
        <v>82</v>
      </c>
      <c r="D95" s="108">
        <f t="shared" si="4"/>
        <v>0</v>
      </c>
      <c r="E95" s="108">
        <f t="shared" si="5"/>
        <v>0</v>
      </c>
      <c r="F95" s="108">
        <f t="shared" si="6"/>
        <v>0</v>
      </c>
      <c r="G95" s="108">
        <f t="shared" si="7"/>
        <v>0</v>
      </c>
    </row>
    <row r="96" spans="3:7" hidden="1" x14ac:dyDescent="0.25">
      <c r="C96" s="105">
        <v>83</v>
      </c>
      <c r="D96" s="108">
        <f t="shared" si="4"/>
        <v>0</v>
      </c>
      <c r="E96" s="108">
        <f t="shared" si="5"/>
        <v>0</v>
      </c>
      <c r="F96" s="108">
        <f t="shared" si="6"/>
        <v>0</v>
      </c>
      <c r="G96" s="108">
        <f t="shared" si="7"/>
        <v>0</v>
      </c>
    </row>
    <row r="97" spans="3:7" hidden="1" x14ac:dyDescent="0.25">
      <c r="C97" s="105">
        <v>84</v>
      </c>
      <c r="D97" s="108">
        <f t="shared" si="4"/>
        <v>0</v>
      </c>
      <c r="E97" s="108">
        <f t="shared" si="5"/>
        <v>0</v>
      </c>
      <c r="F97" s="108">
        <f t="shared" si="6"/>
        <v>0</v>
      </c>
      <c r="G97" s="108">
        <f t="shared" si="7"/>
        <v>0</v>
      </c>
    </row>
    <row r="98" spans="3:7" hidden="1" x14ac:dyDescent="0.25">
      <c r="C98" s="105">
        <v>85</v>
      </c>
      <c r="D98" s="108">
        <f t="shared" si="4"/>
        <v>0</v>
      </c>
      <c r="E98" s="108">
        <f t="shared" si="5"/>
        <v>0</v>
      </c>
      <c r="F98" s="108">
        <f t="shared" si="6"/>
        <v>0</v>
      </c>
      <c r="G98" s="108">
        <f t="shared" si="7"/>
        <v>0</v>
      </c>
    </row>
    <row r="99" spans="3:7" hidden="1" x14ac:dyDescent="0.25">
      <c r="C99" s="105">
        <v>86</v>
      </c>
      <c r="D99" s="108">
        <f t="shared" si="4"/>
        <v>0</v>
      </c>
      <c r="E99" s="108">
        <f t="shared" si="5"/>
        <v>0</v>
      </c>
      <c r="F99" s="108">
        <f t="shared" si="6"/>
        <v>0</v>
      </c>
      <c r="G99" s="108">
        <f t="shared" si="7"/>
        <v>0</v>
      </c>
    </row>
    <row r="100" spans="3:7" hidden="1" x14ac:dyDescent="0.25">
      <c r="C100" s="105">
        <v>87</v>
      </c>
      <c r="D100" s="108">
        <f t="shared" si="4"/>
        <v>0</v>
      </c>
      <c r="E100" s="108">
        <f t="shared" si="5"/>
        <v>0</v>
      </c>
      <c r="F100" s="108">
        <f t="shared" si="6"/>
        <v>0</v>
      </c>
      <c r="G100" s="108">
        <f t="shared" si="7"/>
        <v>0</v>
      </c>
    </row>
    <row r="101" spans="3:7" hidden="1" x14ac:dyDescent="0.25">
      <c r="C101" s="105">
        <v>88</v>
      </c>
      <c r="D101" s="108">
        <f t="shared" si="4"/>
        <v>0</v>
      </c>
      <c r="E101" s="108">
        <f t="shared" si="5"/>
        <v>0</v>
      </c>
      <c r="F101" s="108">
        <f t="shared" si="6"/>
        <v>0</v>
      </c>
      <c r="G101" s="108">
        <f t="shared" si="7"/>
        <v>0</v>
      </c>
    </row>
    <row r="102" spans="3:7" hidden="1" x14ac:dyDescent="0.25">
      <c r="C102" s="105">
        <v>89</v>
      </c>
      <c r="D102" s="108">
        <f t="shared" si="4"/>
        <v>0</v>
      </c>
      <c r="E102" s="108">
        <f t="shared" si="5"/>
        <v>0</v>
      </c>
      <c r="F102" s="108">
        <f t="shared" si="6"/>
        <v>0</v>
      </c>
      <c r="G102" s="108">
        <f t="shared" si="7"/>
        <v>0</v>
      </c>
    </row>
    <row r="103" spans="3:7" hidden="1" x14ac:dyDescent="0.25">
      <c r="C103" s="105">
        <v>90</v>
      </c>
      <c r="D103" s="108">
        <f t="shared" si="4"/>
        <v>0</v>
      </c>
      <c r="E103" s="108">
        <f t="shared" si="5"/>
        <v>0</v>
      </c>
      <c r="F103" s="108">
        <f t="shared" si="6"/>
        <v>0</v>
      </c>
      <c r="G103" s="108">
        <f t="shared" si="7"/>
        <v>0</v>
      </c>
    </row>
    <row r="104" spans="3:7" hidden="1" x14ac:dyDescent="0.25">
      <c r="C104" s="105">
        <v>91</v>
      </c>
      <c r="D104" s="108">
        <f t="shared" si="4"/>
        <v>0</v>
      </c>
      <c r="E104" s="108">
        <f t="shared" si="5"/>
        <v>0</v>
      </c>
      <c r="F104" s="108">
        <f t="shared" si="6"/>
        <v>0</v>
      </c>
      <c r="G104" s="108">
        <f t="shared" si="7"/>
        <v>0</v>
      </c>
    </row>
    <row r="105" spans="3:7" hidden="1" x14ac:dyDescent="0.25">
      <c r="C105" s="105">
        <v>92</v>
      </c>
      <c r="D105" s="108">
        <f t="shared" si="4"/>
        <v>0</v>
      </c>
      <c r="E105" s="108">
        <f t="shared" si="5"/>
        <v>0</v>
      </c>
      <c r="F105" s="108">
        <f t="shared" si="6"/>
        <v>0</v>
      </c>
      <c r="G105" s="108">
        <f t="shared" si="7"/>
        <v>0</v>
      </c>
    </row>
    <row r="106" spans="3:7" hidden="1" x14ac:dyDescent="0.25">
      <c r="C106" s="105">
        <v>93</v>
      </c>
      <c r="D106" s="108">
        <f t="shared" si="4"/>
        <v>0</v>
      </c>
      <c r="E106" s="108">
        <f t="shared" si="5"/>
        <v>0</v>
      </c>
      <c r="F106" s="108">
        <f t="shared" si="6"/>
        <v>0</v>
      </c>
      <c r="G106" s="108">
        <f t="shared" si="7"/>
        <v>0</v>
      </c>
    </row>
    <row r="107" spans="3:7" hidden="1" x14ac:dyDescent="0.25">
      <c r="C107" s="105">
        <v>94</v>
      </c>
      <c r="D107" s="108">
        <f t="shared" si="4"/>
        <v>0</v>
      </c>
      <c r="E107" s="108">
        <f t="shared" si="5"/>
        <v>0</v>
      </c>
      <c r="F107" s="108">
        <f t="shared" si="6"/>
        <v>0</v>
      </c>
      <c r="G107" s="108">
        <f t="shared" si="7"/>
        <v>0</v>
      </c>
    </row>
    <row r="108" spans="3:7" hidden="1" x14ac:dyDescent="0.25">
      <c r="C108" s="105">
        <v>95</v>
      </c>
      <c r="D108" s="108">
        <f t="shared" si="4"/>
        <v>0</v>
      </c>
      <c r="E108" s="108">
        <f t="shared" si="5"/>
        <v>0</v>
      </c>
      <c r="F108" s="108">
        <f t="shared" si="6"/>
        <v>0</v>
      </c>
      <c r="G108" s="108">
        <f t="shared" si="7"/>
        <v>0</v>
      </c>
    </row>
    <row r="109" spans="3:7" hidden="1" x14ac:dyDescent="0.25">
      <c r="C109" s="105">
        <v>96</v>
      </c>
      <c r="D109" s="108">
        <f t="shared" si="4"/>
        <v>0</v>
      </c>
      <c r="E109" s="108">
        <f t="shared" si="5"/>
        <v>0</v>
      </c>
      <c r="F109" s="108">
        <f t="shared" si="6"/>
        <v>0</v>
      </c>
      <c r="G109" s="108">
        <f t="shared" si="7"/>
        <v>0</v>
      </c>
    </row>
    <row r="110" spans="3:7" hidden="1" x14ac:dyDescent="0.25">
      <c r="C110" s="105">
        <v>97</v>
      </c>
      <c r="D110" s="108">
        <f t="shared" si="4"/>
        <v>0</v>
      </c>
      <c r="E110" s="108">
        <f t="shared" si="5"/>
        <v>0</v>
      </c>
      <c r="F110" s="108">
        <f t="shared" si="6"/>
        <v>0</v>
      </c>
      <c r="G110" s="108">
        <f t="shared" si="7"/>
        <v>0</v>
      </c>
    </row>
    <row r="111" spans="3:7" hidden="1" x14ac:dyDescent="0.25">
      <c r="C111" s="105">
        <v>98</v>
      </c>
      <c r="D111" s="108">
        <f t="shared" si="4"/>
        <v>0</v>
      </c>
      <c r="E111" s="108">
        <f t="shared" si="5"/>
        <v>0</v>
      </c>
      <c r="F111" s="108">
        <f t="shared" si="6"/>
        <v>0</v>
      </c>
      <c r="G111" s="108">
        <f t="shared" si="7"/>
        <v>0</v>
      </c>
    </row>
    <row r="112" spans="3:7" hidden="1" x14ac:dyDescent="0.25">
      <c r="C112" s="105">
        <v>99</v>
      </c>
      <c r="D112" s="108">
        <f t="shared" si="4"/>
        <v>0</v>
      </c>
      <c r="E112" s="108">
        <f t="shared" si="5"/>
        <v>0</v>
      </c>
      <c r="F112" s="108">
        <f t="shared" si="6"/>
        <v>0</v>
      </c>
      <c r="G112" s="108">
        <f t="shared" si="7"/>
        <v>0</v>
      </c>
    </row>
    <row r="113" spans="3:7" hidden="1" x14ac:dyDescent="0.25">
      <c r="C113" s="105">
        <v>100</v>
      </c>
      <c r="D113" s="108">
        <f t="shared" si="4"/>
        <v>0</v>
      </c>
      <c r="E113" s="108">
        <f t="shared" si="5"/>
        <v>0</v>
      </c>
      <c r="F113" s="108">
        <f t="shared" si="6"/>
        <v>0</v>
      </c>
      <c r="G113" s="108">
        <f t="shared" si="7"/>
        <v>0</v>
      </c>
    </row>
    <row r="114" spans="3:7" hidden="1" x14ac:dyDescent="0.25">
      <c r="C114" s="105">
        <v>101</v>
      </c>
      <c r="D114" s="108">
        <f t="shared" si="4"/>
        <v>0</v>
      </c>
      <c r="E114" s="108">
        <f t="shared" si="5"/>
        <v>0</v>
      </c>
      <c r="F114" s="108">
        <f t="shared" si="6"/>
        <v>0</v>
      </c>
      <c r="G114" s="108">
        <f t="shared" si="7"/>
        <v>0</v>
      </c>
    </row>
    <row r="115" spans="3:7" hidden="1" x14ac:dyDescent="0.25">
      <c r="C115" s="105">
        <v>102</v>
      </c>
      <c r="D115" s="108">
        <f t="shared" si="4"/>
        <v>0</v>
      </c>
      <c r="E115" s="108">
        <f t="shared" si="5"/>
        <v>0</v>
      </c>
      <c r="F115" s="108">
        <f t="shared" si="6"/>
        <v>0</v>
      </c>
      <c r="G115" s="108">
        <f t="shared" si="7"/>
        <v>0</v>
      </c>
    </row>
    <row r="116" spans="3:7" hidden="1" x14ac:dyDescent="0.25">
      <c r="C116" s="105">
        <v>103</v>
      </c>
      <c r="D116" s="108">
        <f t="shared" si="4"/>
        <v>0</v>
      </c>
      <c r="E116" s="108">
        <f t="shared" si="5"/>
        <v>0</v>
      </c>
      <c r="F116" s="108">
        <f t="shared" si="6"/>
        <v>0</v>
      </c>
      <c r="G116" s="108">
        <f t="shared" si="7"/>
        <v>0</v>
      </c>
    </row>
    <row r="117" spans="3:7" hidden="1" x14ac:dyDescent="0.25">
      <c r="C117" s="105">
        <v>104</v>
      </c>
      <c r="D117" s="108">
        <f t="shared" si="4"/>
        <v>0</v>
      </c>
      <c r="E117" s="108">
        <f t="shared" si="5"/>
        <v>0</v>
      </c>
      <c r="F117" s="108">
        <f t="shared" si="6"/>
        <v>0</v>
      </c>
      <c r="G117" s="108">
        <f t="shared" si="7"/>
        <v>0</v>
      </c>
    </row>
    <row r="118" spans="3:7" hidden="1" x14ac:dyDescent="0.25">
      <c r="C118" s="105">
        <v>105</v>
      </c>
      <c r="D118" s="108">
        <f t="shared" si="4"/>
        <v>0</v>
      </c>
      <c r="E118" s="108">
        <f t="shared" si="5"/>
        <v>0</v>
      </c>
      <c r="F118" s="108">
        <f t="shared" si="6"/>
        <v>0</v>
      </c>
      <c r="G118" s="108">
        <f t="shared" si="7"/>
        <v>0</v>
      </c>
    </row>
    <row r="119" spans="3:7" hidden="1" x14ac:dyDescent="0.25">
      <c r="C119" s="105">
        <v>106</v>
      </c>
      <c r="D119" s="108">
        <f t="shared" si="4"/>
        <v>0</v>
      </c>
      <c r="E119" s="108">
        <f t="shared" si="5"/>
        <v>0</v>
      </c>
      <c r="F119" s="108">
        <f t="shared" si="6"/>
        <v>0</v>
      </c>
      <c r="G119" s="108">
        <f t="shared" si="7"/>
        <v>0</v>
      </c>
    </row>
    <row r="120" spans="3:7" hidden="1" x14ac:dyDescent="0.25">
      <c r="C120" s="105">
        <v>107</v>
      </c>
      <c r="D120" s="108">
        <f t="shared" si="4"/>
        <v>0</v>
      </c>
      <c r="E120" s="108">
        <f t="shared" si="5"/>
        <v>0</v>
      </c>
      <c r="F120" s="108">
        <f t="shared" si="6"/>
        <v>0</v>
      </c>
      <c r="G120" s="108">
        <f t="shared" si="7"/>
        <v>0</v>
      </c>
    </row>
    <row r="121" spans="3:7" hidden="1" x14ac:dyDescent="0.25">
      <c r="C121" s="105">
        <v>108</v>
      </c>
      <c r="D121" s="108">
        <f t="shared" si="4"/>
        <v>0</v>
      </c>
      <c r="E121" s="108">
        <f t="shared" si="5"/>
        <v>0</v>
      </c>
      <c r="F121" s="108">
        <f t="shared" si="6"/>
        <v>0</v>
      </c>
      <c r="G121" s="108">
        <f t="shared" si="7"/>
        <v>0</v>
      </c>
    </row>
    <row r="122" spans="3:7" hidden="1" x14ac:dyDescent="0.25">
      <c r="C122" s="105">
        <v>109</v>
      </c>
      <c r="D122" s="108">
        <f t="shared" si="4"/>
        <v>0</v>
      </c>
      <c r="E122" s="108">
        <f t="shared" si="5"/>
        <v>0</v>
      </c>
      <c r="F122" s="108">
        <f t="shared" si="6"/>
        <v>0</v>
      </c>
      <c r="G122" s="108">
        <f t="shared" si="7"/>
        <v>0</v>
      </c>
    </row>
    <row r="123" spans="3:7" hidden="1" x14ac:dyDescent="0.25">
      <c r="C123" s="105">
        <v>110</v>
      </c>
      <c r="D123" s="108">
        <f t="shared" si="4"/>
        <v>0</v>
      </c>
      <c r="E123" s="108">
        <f t="shared" si="5"/>
        <v>0</v>
      </c>
      <c r="F123" s="108">
        <f t="shared" si="6"/>
        <v>0</v>
      </c>
      <c r="G123" s="108">
        <f t="shared" si="7"/>
        <v>0</v>
      </c>
    </row>
    <row r="124" spans="3:7" hidden="1" x14ac:dyDescent="0.25">
      <c r="C124" s="105">
        <v>111</v>
      </c>
      <c r="D124" s="108">
        <f t="shared" si="4"/>
        <v>0</v>
      </c>
      <c r="E124" s="108">
        <f t="shared" si="5"/>
        <v>0</v>
      </c>
      <c r="F124" s="108">
        <f t="shared" si="6"/>
        <v>0</v>
      </c>
      <c r="G124" s="108">
        <f t="shared" si="7"/>
        <v>0</v>
      </c>
    </row>
    <row r="125" spans="3:7" hidden="1" x14ac:dyDescent="0.25">
      <c r="C125" s="105">
        <v>112</v>
      </c>
      <c r="D125" s="108">
        <f t="shared" si="4"/>
        <v>0</v>
      </c>
      <c r="E125" s="108">
        <f t="shared" si="5"/>
        <v>0</v>
      </c>
      <c r="F125" s="108">
        <f t="shared" si="6"/>
        <v>0</v>
      </c>
      <c r="G125" s="108">
        <f t="shared" si="7"/>
        <v>0</v>
      </c>
    </row>
    <row r="126" spans="3:7" hidden="1" x14ac:dyDescent="0.25">
      <c r="C126" s="105">
        <v>113</v>
      </c>
      <c r="D126" s="108">
        <f t="shared" si="4"/>
        <v>0</v>
      </c>
      <c r="E126" s="108">
        <f t="shared" si="5"/>
        <v>0</v>
      </c>
      <c r="F126" s="108">
        <f t="shared" si="6"/>
        <v>0</v>
      </c>
      <c r="G126" s="108">
        <f t="shared" si="7"/>
        <v>0</v>
      </c>
    </row>
    <row r="127" spans="3:7" hidden="1" x14ac:dyDescent="0.25">
      <c r="C127" s="105">
        <v>114</v>
      </c>
      <c r="D127" s="108">
        <f t="shared" si="4"/>
        <v>0</v>
      </c>
      <c r="E127" s="108">
        <f t="shared" si="5"/>
        <v>0</v>
      </c>
      <c r="F127" s="108">
        <f t="shared" si="6"/>
        <v>0</v>
      </c>
      <c r="G127" s="108">
        <f t="shared" si="7"/>
        <v>0</v>
      </c>
    </row>
    <row r="128" spans="3:7" hidden="1" x14ac:dyDescent="0.25">
      <c r="C128" s="105">
        <v>115</v>
      </c>
      <c r="D128" s="108">
        <f t="shared" si="4"/>
        <v>0</v>
      </c>
      <c r="E128" s="108">
        <f t="shared" si="5"/>
        <v>0</v>
      </c>
      <c r="F128" s="108">
        <f t="shared" si="6"/>
        <v>0</v>
      </c>
      <c r="G128" s="108">
        <f t="shared" si="7"/>
        <v>0</v>
      </c>
    </row>
    <row r="129" spans="3:7" hidden="1" x14ac:dyDescent="0.25">
      <c r="C129" s="105">
        <v>116</v>
      </c>
      <c r="D129" s="108">
        <f t="shared" si="4"/>
        <v>0</v>
      </c>
      <c r="E129" s="108">
        <f t="shared" si="5"/>
        <v>0</v>
      </c>
      <c r="F129" s="108">
        <f t="shared" si="6"/>
        <v>0</v>
      </c>
      <c r="G129" s="108">
        <f t="shared" si="7"/>
        <v>0</v>
      </c>
    </row>
    <row r="130" spans="3:7" hidden="1" x14ac:dyDescent="0.25">
      <c r="C130" s="105">
        <v>117</v>
      </c>
      <c r="D130" s="108">
        <f t="shared" si="4"/>
        <v>0</v>
      </c>
      <c r="E130" s="108">
        <f t="shared" si="5"/>
        <v>0</v>
      </c>
      <c r="F130" s="108">
        <f t="shared" si="6"/>
        <v>0</v>
      </c>
      <c r="G130" s="108">
        <f t="shared" si="7"/>
        <v>0</v>
      </c>
    </row>
    <row r="131" spans="3:7" hidden="1" x14ac:dyDescent="0.25">
      <c r="C131" s="105">
        <v>118</v>
      </c>
      <c r="D131" s="108">
        <f t="shared" si="4"/>
        <v>0</v>
      </c>
      <c r="E131" s="108">
        <f t="shared" si="5"/>
        <v>0</v>
      </c>
      <c r="F131" s="108">
        <f t="shared" si="6"/>
        <v>0</v>
      </c>
      <c r="G131" s="108">
        <f t="shared" si="7"/>
        <v>0</v>
      </c>
    </row>
    <row r="132" spans="3:7" hidden="1" x14ac:dyDescent="0.25">
      <c r="C132" s="105">
        <v>119</v>
      </c>
      <c r="D132" s="108">
        <f t="shared" si="4"/>
        <v>0</v>
      </c>
      <c r="E132" s="108">
        <f t="shared" si="5"/>
        <v>0</v>
      </c>
      <c r="F132" s="108">
        <f t="shared" si="6"/>
        <v>0</v>
      </c>
      <c r="G132" s="108">
        <f t="shared" si="7"/>
        <v>0</v>
      </c>
    </row>
    <row r="133" spans="3:7" hidden="1" x14ac:dyDescent="0.25">
      <c r="C133" s="105">
        <v>120</v>
      </c>
      <c r="D133" s="108">
        <f t="shared" si="4"/>
        <v>0</v>
      </c>
      <c r="E133" s="108">
        <f t="shared" si="5"/>
        <v>0</v>
      </c>
      <c r="F133" s="108">
        <f t="shared" si="6"/>
        <v>0</v>
      </c>
      <c r="G133" s="108">
        <f t="shared" si="7"/>
        <v>0</v>
      </c>
    </row>
  </sheetData>
  <sheetProtection algorithmName="SHA-512" hashValue="s324Ap1NjlgVjd9ZMf62WK34A7nSsHe/4tJoyjhDMm+HMNAtO1Z1bSJ5yxgybgdAYMCX+5/J4UkMtKDyQYNMGA==" saltValue="beWRe3X/LGtUOZrSaadcIw==" spinCount="100000" sheet="1" objects="1" scenarios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DCB96-1487-40C4-B652-96EC11A103FC}">
  <sheetPr codeName="Sheet14"/>
  <dimension ref="B2:G56"/>
  <sheetViews>
    <sheetView showGridLines="0" rightToLeft="1" workbookViewId="0">
      <selection activeCell="D2" sqref="D2"/>
    </sheetView>
  </sheetViews>
  <sheetFormatPr defaultColWidth="9" defaultRowHeight="15" x14ac:dyDescent="0.3"/>
  <cols>
    <col min="1" max="1" width="3.77734375" style="127" customWidth="1"/>
    <col min="2" max="2" width="2" style="127" bestFit="1" customWidth="1"/>
    <col min="3" max="3" width="27.77734375" style="127" bestFit="1" customWidth="1"/>
    <col min="4" max="4" width="17.109375" style="127" customWidth="1"/>
    <col min="5" max="5" width="9" style="127"/>
    <col min="6" max="6" width="27.77734375" style="127" bestFit="1" customWidth="1"/>
    <col min="7" max="7" width="10.88671875" style="127" bestFit="1" customWidth="1"/>
    <col min="8" max="16384" width="9" style="127"/>
  </cols>
  <sheetData>
    <row r="2" spans="2:7" ht="36.6" x14ac:dyDescent="0.3">
      <c r="C2" s="160" t="s">
        <v>4</v>
      </c>
      <c r="D2" s="271" t="s">
        <v>430</v>
      </c>
    </row>
    <row r="3" spans="2:7" ht="21" x14ac:dyDescent="0.3">
      <c r="C3" s="160"/>
    </row>
    <row r="4" spans="2:7" ht="21" x14ac:dyDescent="0.3">
      <c r="C4" s="160" t="s">
        <v>337</v>
      </c>
      <c r="F4" s="160" t="s">
        <v>338</v>
      </c>
    </row>
    <row r="5" spans="2:7" ht="15.6" x14ac:dyDescent="0.3">
      <c r="C5" s="159"/>
      <c r="F5" s="159"/>
    </row>
    <row r="6" spans="2:7" ht="17.399999999999999" x14ac:dyDescent="0.3">
      <c r="C6" s="149" t="s">
        <v>1</v>
      </c>
      <c r="D6" s="149" t="s">
        <v>107</v>
      </c>
      <c r="F6" s="149" t="s">
        <v>1</v>
      </c>
      <c r="G6" s="149" t="s">
        <v>107</v>
      </c>
    </row>
    <row r="7" spans="2:7" ht="17.399999999999999" x14ac:dyDescent="0.3">
      <c r="C7" s="150" t="s">
        <v>331</v>
      </c>
      <c r="D7" s="151">
        <v>8184.5238095238101</v>
      </c>
      <c r="F7" s="150" t="s">
        <v>331</v>
      </c>
      <c r="G7" s="151">
        <v>7580.8711006474414</v>
      </c>
    </row>
    <row r="8" spans="2:7" s="128" customFormat="1" ht="17.399999999999999" x14ac:dyDescent="0.3">
      <c r="C8" s="152" t="s">
        <v>92</v>
      </c>
      <c r="D8" s="153">
        <f>MAX(2700, MIN(D7, 16700))</f>
        <v>8184.5238095238101</v>
      </c>
      <c r="F8" s="152" t="s">
        <v>92</v>
      </c>
      <c r="G8" s="153">
        <v>2700</v>
      </c>
    </row>
    <row r="9" spans="2:7" s="128" customFormat="1" ht="17.399999999999999" x14ac:dyDescent="0.3">
      <c r="C9" s="154" t="s">
        <v>332</v>
      </c>
      <c r="D9" s="155">
        <f>D8 * 0.11</f>
        <v>900.29761904761915</v>
      </c>
      <c r="F9" s="154" t="s">
        <v>332</v>
      </c>
      <c r="G9" s="155">
        <f>G8 * 0.11</f>
        <v>297</v>
      </c>
    </row>
    <row r="10" spans="2:7" s="128" customFormat="1" ht="17.399999999999999" x14ac:dyDescent="0.3">
      <c r="B10" s="129"/>
      <c r="C10" s="152" t="s">
        <v>333</v>
      </c>
      <c r="D10" s="153">
        <f>((D7 - D9) * 12 - 20000) / 12</f>
        <v>5617.5595238095239</v>
      </c>
      <c r="F10" s="152" t="s">
        <v>333</v>
      </c>
      <c r="G10" s="153">
        <f>((G7 - G9) * 12 - 20000) / 12</f>
        <v>5617.2044339807753</v>
      </c>
    </row>
    <row r="11" spans="2:7" s="126" customFormat="1" ht="17.399999999999999" x14ac:dyDescent="0.3">
      <c r="C11" s="154" t="s">
        <v>220</v>
      </c>
      <c r="D11" s="155" cm="1">
        <f t="array" ref="D11">_xlfn.IFS(
    (D10*12)&lt;=600000, SUMPRODUCT(--((D10*12)&gt;{0,40000,55000,70000,200000,400000,1200000}), ((D10*12)-{0,40000,55000,70000,200000,400000,1200000}), {0,0.1,0.05,0.05,0.025,0.025,0.025}),
    (D10*12)&lt;=700000, SUMPRODUCT(--((D10*12)&gt;{0,55000,70000,200000,400000,1200000}), ((D10*12)-{0,55000,70000,200000,400000,1200000}), {0.1,0.05,0.05,0.025,0.025,0.025}),
    (D10*12)&lt;=800000, SUMPRODUCT(--((D10*12)&gt;{0,70000,200000,400000,1200000}), ((D10*12)-{0,70000,200000,400000,1200000}), {0.15,0.05,0.025,0.025,0.025}),
    (D10*12)&lt;=900000, SUMPRODUCT(--((D10*12)&gt;{0,200000,400000,1200000}), ((D10*12)-{0,200000,400000,1200000}), {0.2,0.025,0.025,0.025}),
    (D10*12)&lt;=1200000, SUMPRODUCT(--((D10*12)&gt;{0,400000,1200000}), ((D10*12)-{0,400000,1200000}), {0.225,0.025,0.025}),
    (D10*12)&gt;1200000, SUMPRODUCT(--((D10*12)&gt;{0,1200000}), ((D10*12)-{0,1200000}), {0.25,0.025})
) / 12</f>
        <v>280.13392857142867</v>
      </c>
      <c r="F11" s="154" t="s">
        <v>220</v>
      </c>
      <c r="G11" s="155" cm="1">
        <f t="array" ref="G11">_xlfn.IFS(
    (G10*12)&lt;=600000, SUMPRODUCT(--((G10*12)&gt;{0,40000,55000,70000,200000,400000,1200000}), ((G10*12)-{0,40000,55000,70000,200000,400000,1200000}), {0,0.1,0.05,0.05,0.025,0.025,0.025}),
    (G10*12)&lt;=700000, SUMPRODUCT(--((G10*12)&gt;{0,55000,70000,200000,400000,1200000}), ((G10*12)-{0,55000,70000,200000,400000,1200000}), {0.1,0.05,0.05,0.025,0.025,0.025}),
    (G10*12)&lt;=800000, SUMPRODUCT(--((G10*12)&gt;{0,70000,200000,400000,1200000}), ((G10*12)-{0,70000,200000,400000,1200000}), {0.15,0.05,0.025,0.025,0.025}),
    (G10*12)&lt;=900000, SUMPRODUCT(--((G10*12)&gt;{0,200000,400000,1200000}), ((G10*12)-{0,200000,400000,1200000}), {0.2,0.025,0.025,0.025}),
    (G10*12)&lt;=1200000, SUMPRODUCT(--((G10*12)&gt;{0,400000,1200000}), ((G10*12)-{0,400000,1200000}), {0.225,0.025,0.025}),
    (G10*12)&gt;1200000, SUMPRODUCT(--((G10*12)&gt;{0,1200000}), ((G10*12)-{0,1200000}), {0.25,0.025})
) / 12</f>
        <v>280.08066509711625</v>
      </c>
    </row>
    <row r="12" spans="2:7" ht="17.399999999999999" x14ac:dyDescent="0.3">
      <c r="C12" s="154" t="s">
        <v>139</v>
      </c>
      <c r="D12" s="155">
        <f>D7 * 0.0005</f>
        <v>4.0922619047619051</v>
      </c>
      <c r="F12" s="154" t="s">
        <v>139</v>
      </c>
      <c r="G12" s="155">
        <f>G7 * 0.0005</f>
        <v>3.7904355503237208</v>
      </c>
    </row>
    <row r="13" spans="2:7" ht="17.399999999999999" x14ac:dyDescent="0.3">
      <c r="C13" s="150" t="s">
        <v>334</v>
      </c>
      <c r="D13" s="151">
        <f>D7-D9-D11-D12</f>
        <v>7000.0000000000009</v>
      </c>
      <c r="F13" s="150" t="s">
        <v>334</v>
      </c>
      <c r="G13" s="151">
        <f>G7-G9-G11-G12</f>
        <v>7000.0000000000018</v>
      </c>
    </row>
    <row r="14" spans="2:7" x14ac:dyDescent="0.3">
      <c r="C14"/>
      <c r="D14"/>
      <c r="F14"/>
      <c r="G14"/>
    </row>
    <row r="15" spans="2:7" x14ac:dyDescent="0.3">
      <c r="C15"/>
      <c r="D15"/>
      <c r="F15"/>
      <c r="G15"/>
    </row>
    <row r="16" spans="2:7" ht="17.399999999999999" x14ac:dyDescent="0.3">
      <c r="C16" s="149" t="s">
        <v>335</v>
      </c>
      <c r="D16" s="156">
        <f>D8*(18.75%)</f>
        <v>1534.5982142857144</v>
      </c>
      <c r="F16" s="149" t="s">
        <v>335</v>
      </c>
      <c r="G16" s="156">
        <f>G8*(18.75%)</f>
        <v>506.25</v>
      </c>
    </row>
    <row r="17" spans="3:7" ht="17.399999999999999" x14ac:dyDescent="0.3">
      <c r="C17" s="149" t="s">
        <v>89</v>
      </c>
      <c r="D17" s="156">
        <v>130</v>
      </c>
      <c r="F17" s="149" t="s">
        <v>89</v>
      </c>
      <c r="G17" s="156">
        <v>130</v>
      </c>
    </row>
    <row r="18" spans="3:7" ht="17.399999999999999" x14ac:dyDescent="0.3">
      <c r="C18" s="157" t="s">
        <v>336</v>
      </c>
      <c r="D18" s="158">
        <f>D7+D16+D17</f>
        <v>9849.1220238095248</v>
      </c>
      <c r="F18" s="157" t="s">
        <v>336</v>
      </c>
      <c r="G18" s="158">
        <f>G7+G16+G17</f>
        <v>8217.1211006474405</v>
      </c>
    </row>
    <row r="20" spans="3:7" ht="15.6" thickBot="1" x14ac:dyDescent="0.35">
      <c r="C20" s="164"/>
      <c r="D20" s="164"/>
      <c r="E20" s="164"/>
      <c r="F20" s="164"/>
      <c r="G20" s="164"/>
    </row>
    <row r="21" spans="3:7" ht="21.6" thickTop="1" x14ac:dyDescent="0.3">
      <c r="C21" s="160" t="s">
        <v>3</v>
      </c>
    </row>
    <row r="22" spans="3:7" ht="21" x14ac:dyDescent="0.3">
      <c r="C22" s="160"/>
    </row>
    <row r="23" spans="3:7" ht="21" x14ac:dyDescent="0.3">
      <c r="C23" s="160" t="s">
        <v>337</v>
      </c>
      <c r="F23" s="160" t="s">
        <v>338</v>
      </c>
    </row>
    <row r="24" spans="3:7" ht="15.6" x14ac:dyDescent="0.3">
      <c r="C24" s="159"/>
      <c r="F24" s="159"/>
    </row>
    <row r="25" spans="3:7" ht="17.399999999999999" x14ac:dyDescent="0.3">
      <c r="C25" s="149" t="s">
        <v>1</v>
      </c>
      <c r="D25" s="149" t="s">
        <v>107</v>
      </c>
      <c r="F25" s="149" t="s">
        <v>1</v>
      </c>
      <c r="G25" s="149" t="s">
        <v>107</v>
      </c>
    </row>
    <row r="26" spans="3:7" ht="17.399999999999999" x14ac:dyDescent="0.3">
      <c r="C26" s="150" t="s">
        <v>331</v>
      </c>
      <c r="D26" s="151">
        <v>10980.323260716794</v>
      </c>
      <c r="F26" s="150" t="s">
        <v>331</v>
      </c>
      <c r="G26" s="151">
        <v>10068.918073796121</v>
      </c>
    </row>
    <row r="27" spans="3:7" ht="17.399999999999999" x14ac:dyDescent="0.3">
      <c r="C27" s="152" t="s">
        <v>92</v>
      </c>
      <c r="D27" s="153">
        <f>MAX(2700, MIN(D26, 16700))</f>
        <v>10980.323260716794</v>
      </c>
      <c r="E27" s="128"/>
      <c r="F27" s="152" t="s">
        <v>92</v>
      </c>
      <c r="G27" s="153">
        <v>2700</v>
      </c>
    </row>
    <row r="28" spans="3:7" ht="17.399999999999999" x14ac:dyDescent="0.3">
      <c r="C28" s="154" t="s">
        <v>332</v>
      </c>
      <c r="D28" s="155">
        <f>D27 * 0.11</f>
        <v>1207.8355586788473</v>
      </c>
      <c r="E28" s="128"/>
      <c r="F28" s="154" t="s">
        <v>332</v>
      </c>
      <c r="G28" s="155">
        <f>G27 * 0.11</f>
        <v>297</v>
      </c>
    </row>
    <row r="29" spans="3:7" ht="17.399999999999999" x14ac:dyDescent="0.3">
      <c r="C29" s="152" t="s">
        <v>333</v>
      </c>
      <c r="D29" s="153">
        <f>((D26 - D28) * 12 - 20000) / 12</f>
        <v>8105.8210353712793</v>
      </c>
      <c r="E29" s="128"/>
      <c r="F29" s="152" t="s">
        <v>333</v>
      </c>
      <c r="G29" s="153">
        <f>((G26 - G28) * 12 - 20000) / 12</f>
        <v>8105.2514071294545</v>
      </c>
    </row>
    <row r="30" spans="3:7" ht="17.399999999999999" x14ac:dyDescent="0.3">
      <c r="C30" s="154" t="s">
        <v>220</v>
      </c>
      <c r="D30" s="155" cm="1">
        <f t="array" ref="D30">_xlfn.IFS(
    (D29*12)&lt;=600000, SUMPRODUCT(--((D29*12)&gt;{0,40000,55000,70000,200000,400000,1200000}), ((D29*12)-{0,40000,55000,70000,200000,400000,1200000}), {0,0.1,0.05,0.05,0.025,0.025,0.025}),
    (D29*12)&lt;=700000, SUMPRODUCT(--((D29*12)&gt;{0,55000,70000,200000,400000,1200000}), ((D29*12)-{0,55000,70000,200000,400000,1200000}), {0.1,0.05,0.05,0.025,0.025,0.025}),
    (D29*12)&lt;=800000, SUMPRODUCT(--((D29*12)&gt;{0,70000,200000,400000,1200000}), ((D29*12)-{0,70000,200000,400000,1200000}), {0.15,0.05,0.025,0.025,0.025}),
    (D29*12)&lt;=900000, SUMPRODUCT(--((D29*12)&gt;{0,200000,400000,1200000}), ((D29*12)-{0,200000,400000,1200000}), {0.2,0.025,0.025,0.025}),
    (D29*12)&lt;=1200000, SUMPRODUCT(--((D29*12)&gt;{0,400000,1200000}), ((D29*12)-{0,400000,1200000}), {0.225,0.025,0.025}),
    (D29*12)&gt;1200000, SUMPRODUCT(--((D29*12)&gt;{0,1200000}), ((D29*12)-{0,1200000}), {0.25,0.025})
) / 12</f>
        <v>766.99754040758933</v>
      </c>
      <c r="E30" s="126"/>
      <c r="F30" s="154" t="s">
        <v>220</v>
      </c>
      <c r="G30" s="155" cm="1">
        <f t="array" ref="G30">_xlfn.IFS(
    (G29*12)&lt;=600000, SUMPRODUCT(--((G29*12)&gt;{0,40000,55000,70000,200000,400000,1200000}), ((G29*12)-{0,40000,55000,70000,200000,400000,1200000}), {0,0.1,0.05,0.05,0.025,0.025,0.025}),
    (G29*12)&lt;=700000, SUMPRODUCT(--((G29*12)&gt;{0,55000,70000,200000,400000,1200000}), ((G29*12)-{0,55000,70000,200000,400000,1200000}), {0.1,0.05,0.05,0.025,0.025,0.025}),
    (G29*12)&lt;=800000, SUMPRODUCT(--((G29*12)&gt;{0,70000,200000,400000,1200000}), ((G29*12)-{0,70000,200000,400000,1200000}), {0.15,0.05,0.025,0.025,0.025}),
    (G29*12)&lt;=900000, SUMPRODUCT(--((G29*12)&gt;{0,200000,400000,1200000}), ((G29*12)-{0,200000,400000,1200000}), {0.2,0.025,0.025,0.025}),
    (G29*12)&lt;=1200000, SUMPRODUCT(--((G29*12)&gt;{0,400000,1200000}), ((G29*12)-{0,400000,1200000}), {0.225,0.025,0.025}),
    (G29*12)&gt;1200000, SUMPRODUCT(--((G29*12)&gt;{0,1200000}), ((G29*12)-{0,1200000}), {0.25,0.025})
) / 12</f>
        <v>766.88361475922432</v>
      </c>
    </row>
    <row r="31" spans="3:7" ht="17.399999999999999" x14ac:dyDescent="0.3">
      <c r="C31" s="154" t="s">
        <v>139</v>
      </c>
      <c r="D31" s="155">
        <f>D26 * 0.0005</f>
        <v>5.4901616303583971</v>
      </c>
      <c r="F31" s="154" t="s">
        <v>139</v>
      </c>
      <c r="G31" s="155">
        <f>G26 * 0.0005</f>
        <v>5.0344590368980606</v>
      </c>
    </row>
    <row r="32" spans="3:7" ht="17.399999999999999" x14ac:dyDescent="0.3">
      <c r="C32" s="150" t="s">
        <v>334</v>
      </c>
      <c r="D32" s="151">
        <f>D26-D28-D30-D31</f>
        <v>9000</v>
      </c>
      <c r="F32" s="150" t="s">
        <v>334</v>
      </c>
      <c r="G32" s="151">
        <f>G26-G28-G30-G31</f>
        <v>8999.9999999999982</v>
      </c>
    </row>
    <row r="33" spans="3:7" x14ac:dyDescent="0.3">
      <c r="C33"/>
      <c r="D33"/>
      <c r="F33"/>
      <c r="G33"/>
    </row>
    <row r="34" spans="3:7" x14ac:dyDescent="0.3">
      <c r="C34"/>
      <c r="D34"/>
      <c r="F34"/>
      <c r="G34"/>
    </row>
    <row r="35" spans="3:7" ht="17.399999999999999" x14ac:dyDescent="0.3">
      <c r="C35" s="149" t="s">
        <v>335</v>
      </c>
      <c r="D35" s="156">
        <f>D27*(18.75%)</f>
        <v>2058.8106113843987</v>
      </c>
      <c r="F35" s="149" t="s">
        <v>335</v>
      </c>
      <c r="G35" s="156">
        <f>G27*(18.75%)</f>
        <v>506.25</v>
      </c>
    </row>
    <row r="36" spans="3:7" ht="17.399999999999999" x14ac:dyDescent="0.3">
      <c r="C36" s="149" t="s">
        <v>89</v>
      </c>
      <c r="D36" s="156">
        <v>130</v>
      </c>
      <c r="F36" s="149" t="s">
        <v>89</v>
      </c>
      <c r="G36" s="156">
        <v>130</v>
      </c>
    </row>
    <row r="37" spans="3:7" ht="17.399999999999999" x14ac:dyDescent="0.3">
      <c r="C37" s="157" t="s">
        <v>336</v>
      </c>
      <c r="D37" s="158">
        <f>D26+D35+D36</f>
        <v>13169.133872101193</v>
      </c>
      <c r="F37" s="157" t="s">
        <v>336</v>
      </c>
      <c r="G37" s="158">
        <f>G26+G35+G36</f>
        <v>10705.168073796121</v>
      </c>
    </row>
    <row r="39" spans="3:7" ht="15.6" thickBot="1" x14ac:dyDescent="0.35">
      <c r="C39" s="164"/>
      <c r="D39" s="164"/>
      <c r="E39" s="164"/>
      <c r="F39" s="164"/>
      <c r="G39" s="164"/>
    </row>
    <row r="40" spans="3:7" ht="21.6" thickTop="1" x14ac:dyDescent="0.3">
      <c r="C40" s="160" t="s">
        <v>91</v>
      </c>
    </row>
    <row r="41" spans="3:7" ht="21" x14ac:dyDescent="0.3">
      <c r="C41" s="160"/>
    </row>
    <row r="42" spans="3:7" ht="21" x14ac:dyDescent="0.3">
      <c r="C42" s="160" t="s">
        <v>337</v>
      </c>
      <c r="F42" s="160" t="s">
        <v>338</v>
      </c>
    </row>
    <row r="43" spans="3:7" ht="15.6" x14ac:dyDescent="0.3">
      <c r="C43" s="159"/>
      <c r="F43" s="159"/>
    </row>
    <row r="44" spans="3:7" ht="17.399999999999999" x14ac:dyDescent="0.3">
      <c r="C44" s="149" t="s">
        <v>1</v>
      </c>
      <c r="D44" s="149" t="s">
        <v>107</v>
      </c>
      <c r="F44" s="149" t="s">
        <v>1</v>
      </c>
      <c r="G44" s="149" t="s">
        <v>107</v>
      </c>
    </row>
    <row r="45" spans="3:7" ht="17.399999999999999" x14ac:dyDescent="0.3">
      <c r="C45" s="150" t="s">
        <v>331</v>
      </c>
      <c r="D45" s="151">
        <v>15196.767392832047</v>
      </c>
      <c r="F45" s="150" t="s">
        <v>331</v>
      </c>
      <c r="G45" s="151">
        <v>13821.263289555971</v>
      </c>
    </row>
    <row r="46" spans="3:7" ht="17.399999999999999" x14ac:dyDescent="0.3">
      <c r="C46" s="152" t="s">
        <v>92</v>
      </c>
      <c r="D46" s="153">
        <f>MAX(2700, MIN(D45, 16700))</f>
        <v>15196.767392832047</v>
      </c>
      <c r="E46" s="128"/>
      <c r="F46" s="152" t="s">
        <v>92</v>
      </c>
      <c r="G46" s="153">
        <v>2700</v>
      </c>
    </row>
    <row r="47" spans="3:7" ht="17.399999999999999" x14ac:dyDescent="0.3">
      <c r="C47" s="154" t="s">
        <v>332</v>
      </c>
      <c r="D47" s="155">
        <f>D46 * 0.11</f>
        <v>1671.6444132115253</v>
      </c>
      <c r="E47" s="128"/>
      <c r="F47" s="154" t="s">
        <v>332</v>
      </c>
      <c r="G47" s="155">
        <f>G46 * 0.11</f>
        <v>297</v>
      </c>
    </row>
    <row r="48" spans="3:7" ht="17.399999999999999" x14ac:dyDescent="0.3">
      <c r="C48" s="152" t="s">
        <v>333</v>
      </c>
      <c r="D48" s="153">
        <f>((D45 - D47) * 12 - 20000) / 12</f>
        <v>11858.456312953856</v>
      </c>
      <c r="E48" s="128"/>
      <c r="F48" s="152" t="s">
        <v>333</v>
      </c>
      <c r="G48" s="153">
        <f>((G45 - G47) * 12 - 20000) / 12</f>
        <v>11857.596622889303</v>
      </c>
    </row>
    <row r="49" spans="3:7" ht="17.399999999999999" x14ac:dyDescent="0.3">
      <c r="C49" s="154" t="s">
        <v>220</v>
      </c>
      <c r="D49" s="155" cm="1">
        <f t="array" ref="D49">_xlfn.IFS(
    (D48*12)&lt;=600000, SUMPRODUCT(--((D48*12)&gt;{0,40000,55000,70000,200000,400000,1200000}), ((D48*12)-{0,40000,55000,70000,200000,400000,1200000}), {0,0.1,0.05,0.05,0.025,0.025,0.025}),
    (D48*12)&lt;=700000, SUMPRODUCT(--((D48*12)&gt;{0,55000,70000,200000,400000,1200000}), ((D48*12)-{0,55000,70000,200000,400000,1200000}), {0.1,0.05,0.05,0.025,0.025,0.025}),
    (D48*12)&lt;=800000, SUMPRODUCT(--((D48*12)&gt;{0,70000,200000,400000,1200000}), ((D48*12)-{0,70000,200000,400000,1200000}), {0.15,0.05,0.025,0.025,0.025}),
    (D48*12)&lt;=900000, SUMPRODUCT(--((D48*12)&gt;{0,200000,400000,1200000}), ((D48*12)-{0,200000,400000,1200000}), {0.2,0.025,0.025,0.025}),
    (D48*12)&lt;=1200000, SUMPRODUCT(--((D48*12)&gt;{0,400000,1200000}), ((D48*12)-{0,400000,1200000}), {0.225,0.025,0.025}),
    (D48*12)&gt;1200000, SUMPRODUCT(--((D48*12)&gt;{0,1200000}), ((D48*12)-{0,1200000}), {0.25,0.025})
) / 12</f>
        <v>1517.5245959241047</v>
      </c>
      <c r="E49" s="126"/>
      <c r="F49" s="154" t="s">
        <v>220</v>
      </c>
      <c r="G49" s="155" cm="1">
        <f t="array" ref="G49">_xlfn.IFS(
    (G48*12)&lt;=600000, SUMPRODUCT(--((G48*12)&gt;{0,40000,55000,70000,200000,400000,1200000}), ((G48*12)-{0,40000,55000,70000,200000,400000,1200000}), {0,0.1,0.05,0.05,0.025,0.025,0.025}),
    (G48*12)&lt;=700000, SUMPRODUCT(--((G48*12)&gt;{0,55000,70000,200000,400000,1200000}), ((G48*12)-{0,55000,70000,200000,400000,1200000}), {0.1,0.05,0.05,0.025,0.025,0.025}),
    (G48*12)&lt;=800000, SUMPRODUCT(--((G48*12)&gt;{0,70000,200000,400000,1200000}), ((G48*12)-{0,70000,200000,400000,1200000}), {0.15,0.05,0.025,0.025,0.025}),
    (G48*12)&lt;=900000, SUMPRODUCT(--((G48*12)&gt;{0,200000,400000,1200000}), ((G48*12)-{0,200000,400000,1200000}), {0.2,0.025,0.025,0.025}),
    (G48*12)&lt;=1200000, SUMPRODUCT(--((G48*12)&gt;{0,400000,1200000}), ((G48*12)-{0,400000,1200000}), {0.225,0.025,0.025}),
    (G48*12)&gt;1200000, SUMPRODUCT(--((G48*12)&gt;{0,1200000}), ((G48*12)-{0,1200000}), {0.25,0.025})
) / 12</f>
        <v>1517.3526579111942</v>
      </c>
    </row>
    <row r="50" spans="3:7" ht="17.399999999999999" x14ac:dyDescent="0.3">
      <c r="C50" s="154" t="s">
        <v>139</v>
      </c>
      <c r="D50" s="155">
        <f>D45 * 0.0005</f>
        <v>7.5983836964160236</v>
      </c>
      <c r="F50" s="154" t="s">
        <v>139</v>
      </c>
      <c r="G50" s="155">
        <f>G45 * 0.0005</f>
        <v>6.9106316447779852</v>
      </c>
    </row>
    <row r="51" spans="3:7" ht="17.399999999999999" x14ac:dyDescent="0.3">
      <c r="C51" s="150" t="s">
        <v>334</v>
      </c>
      <c r="D51" s="151">
        <f>D45-D47-D49-D50</f>
        <v>12000.000000000002</v>
      </c>
      <c r="F51" s="150" t="s">
        <v>334</v>
      </c>
      <c r="G51" s="151">
        <f>G45-G47-G49-G50</f>
        <v>11999.999999999998</v>
      </c>
    </row>
    <row r="52" spans="3:7" x14ac:dyDescent="0.3">
      <c r="C52"/>
      <c r="D52"/>
      <c r="F52"/>
      <c r="G52"/>
    </row>
    <row r="53" spans="3:7" x14ac:dyDescent="0.3">
      <c r="C53"/>
      <c r="D53"/>
      <c r="F53"/>
      <c r="G53"/>
    </row>
    <row r="54" spans="3:7" ht="17.399999999999999" x14ac:dyDescent="0.3">
      <c r="C54" s="149" t="s">
        <v>335</v>
      </c>
      <c r="D54" s="156">
        <f>D46*(18.75%)</f>
        <v>2849.3938861560091</v>
      </c>
      <c r="F54" s="149" t="s">
        <v>335</v>
      </c>
      <c r="G54" s="156">
        <f>G46*(18.75%)</f>
        <v>506.25</v>
      </c>
    </row>
    <row r="55" spans="3:7" ht="17.399999999999999" x14ac:dyDescent="0.3">
      <c r="C55" s="149" t="s">
        <v>89</v>
      </c>
      <c r="D55" s="156">
        <v>130</v>
      </c>
      <c r="F55" s="149" t="s">
        <v>89</v>
      </c>
      <c r="G55" s="156">
        <v>130</v>
      </c>
    </row>
    <row r="56" spans="3:7" ht="17.399999999999999" x14ac:dyDescent="0.3">
      <c r="C56" s="157" t="s">
        <v>336</v>
      </c>
      <c r="D56" s="158">
        <f>D45+D54+D55</f>
        <v>18176.161278988056</v>
      </c>
      <c r="F56" s="157" t="s">
        <v>336</v>
      </c>
      <c r="G56" s="158">
        <f>G45+G54+G55</f>
        <v>14457.513289555971</v>
      </c>
    </row>
  </sheetData>
  <sheetProtection algorithmName="SHA-512" hashValue="CK83Qom9fS9JH66o5Bixh+mAHQHkE0vJML/QInDPr9PWYkoCys3F2eL0varX83SOulTvQ9biiVPHb2D1B3UIkw==" saltValue="wUyi+B1M2ICE8VogXG4G2w==" spinCount="100000" sheet="1" objects="1" scenarios="1"/>
  <hyperlinks>
    <hyperlink ref="D2" r:id="rId1" display="حاسبة رواتب" xr:uid="{175497E1-42ED-4B2B-952C-3B85AB46FC88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07D7B-A6CC-4804-86A3-870080E38899}">
  <sheetPr codeName="Sheet15"/>
  <dimension ref="B2:E30"/>
  <sheetViews>
    <sheetView rightToLeft="1" workbookViewId="0">
      <selection activeCell="C30" sqref="C30"/>
    </sheetView>
  </sheetViews>
  <sheetFormatPr defaultRowHeight="14.4" x14ac:dyDescent="0.3"/>
  <cols>
    <col min="1" max="1" width="2.109375" customWidth="1"/>
    <col min="2" max="2" width="14.109375" bestFit="1" customWidth="1"/>
    <col min="3" max="3" width="2.6640625" bestFit="1" customWidth="1"/>
    <col min="4" max="4" width="9.88671875" bestFit="1" customWidth="1"/>
    <col min="5" max="5" width="17.88671875" bestFit="1" customWidth="1"/>
  </cols>
  <sheetData>
    <row r="2" spans="2:5" ht="23.4" x14ac:dyDescent="0.45">
      <c r="B2" s="256" t="s">
        <v>414</v>
      </c>
    </row>
    <row r="4" spans="2:5" ht="18" x14ac:dyDescent="0.35">
      <c r="B4" s="257" t="s">
        <v>409</v>
      </c>
      <c r="C4" s="257"/>
      <c r="D4" s="257"/>
      <c r="E4" s="21"/>
    </row>
    <row r="5" spans="2:5" ht="18" x14ac:dyDescent="0.35">
      <c r="B5" s="257"/>
      <c r="C5" s="257">
        <v>1</v>
      </c>
      <c r="D5" s="257"/>
      <c r="E5" s="21"/>
    </row>
    <row r="6" spans="2:5" ht="18" x14ac:dyDescent="0.35">
      <c r="B6" s="257"/>
      <c r="C6" s="257">
        <v>2</v>
      </c>
      <c r="D6" s="257"/>
      <c r="E6" s="21"/>
    </row>
    <row r="7" spans="2:5" ht="18.600000000000001" thickBot="1" x14ac:dyDescent="0.4">
      <c r="B7" s="258"/>
      <c r="C7" s="258"/>
      <c r="D7" s="258"/>
      <c r="E7" s="21"/>
    </row>
    <row r="8" spans="2:5" ht="18" x14ac:dyDescent="0.35">
      <c r="B8" s="257" t="s">
        <v>410</v>
      </c>
      <c r="C8" s="257"/>
      <c r="D8" s="257"/>
      <c r="E8" s="21"/>
    </row>
    <row r="9" spans="2:5" ht="18" x14ac:dyDescent="0.35">
      <c r="B9" s="257"/>
      <c r="C9" s="259">
        <v>1</v>
      </c>
      <c r="D9" s="259">
        <f>8*30</f>
        <v>240</v>
      </c>
      <c r="E9" s="21" t="s">
        <v>405</v>
      </c>
    </row>
    <row r="10" spans="2:5" ht="18" x14ac:dyDescent="0.35">
      <c r="B10" s="257"/>
      <c r="C10" s="259">
        <v>2</v>
      </c>
      <c r="D10" s="259">
        <f>8*26</f>
        <v>208</v>
      </c>
      <c r="E10" s="21" t="s">
        <v>406</v>
      </c>
    </row>
    <row r="11" spans="2:5" ht="18" x14ac:dyDescent="0.35">
      <c r="B11" s="257"/>
      <c r="C11" s="259">
        <v>3</v>
      </c>
      <c r="D11" s="259">
        <f>12*30</f>
        <v>360</v>
      </c>
      <c r="E11" s="21" t="s">
        <v>407</v>
      </c>
    </row>
    <row r="12" spans="2:5" ht="18" x14ac:dyDescent="0.35">
      <c r="B12" s="257"/>
      <c r="C12" s="259">
        <v>4</v>
      </c>
      <c r="D12" s="259">
        <f>12*26</f>
        <v>312</v>
      </c>
      <c r="E12" s="21" t="s">
        <v>408</v>
      </c>
    </row>
    <row r="13" spans="2:5" ht="18.600000000000001" thickBot="1" x14ac:dyDescent="0.4">
      <c r="B13" s="258"/>
      <c r="C13" s="258"/>
      <c r="D13" s="258"/>
      <c r="E13" s="21"/>
    </row>
    <row r="14" spans="2:5" ht="18" x14ac:dyDescent="0.35">
      <c r="B14" s="257" t="s">
        <v>411</v>
      </c>
      <c r="C14" s="257"/>
      <c r="D14" s="257"/>
      <c r="E14" s="21"/>
    </row>
    <row r="15" spans="2:5" ht="18" x14ac:dyDescent="0.35">
      <c r="B15" s="257"/>
      <c r="C15" s="259">
        <v>1</v>
      </c>
      <c r="D15" s="257"/>
      <c r="E15" s="21"/>
    </row>
    <row r="16" spans="2:5" ht="18" x14ac:dyDescent="0.35">
      <c r="B16" s="257"/>
      <c r="C16" s="259">
        <v>2</v>
      </c>
      <c r="D16" s="257"/>
      <c r="E16" s="21"/>
    </row>
    <row r="17" spans="2:5" ht="18.600000000000001" thickBot="1" x14ac:dyDescent="0.4">
      <c r="B17" s="258"/>
      <c r="C17" s="258">
        <v>3</v>
      </c>
      <c r="D17" s="258"/>
      <c r="E17" s="21"/>
    </row>
    <row r="18" spans="2:5" ht="18" x14ac:dyDescent="0.35">
      <c r="B18" s="257" t="s">
        <v>412</v>
      </c>
      <c r="C18" s="257"/>
      <c r="D18" s="257"/>
      <c r="E18" s="21"/>
    </row>
    <row r="19" spans="2:5" ht="18" x14ac:dyDescent="0.35">
      <c r="B19" s="257"/>
      <c r="C19" s="257">
        <v>1</v>
      </c>
      <c r="D19" s="257">
        <v>31</v>
      </c>
      <c r="E19" s="21"/>
    </row>
    <row r="20" spans="2:5" ht="18" x14ac:dyDescent="0.35">
      <c r="B20" s="257"/>
      <c r="C20" s="257">
        <v>2</v>
      </c>
      <c r="D20" s="257">
        <v>27</v>
      </c>
      <c r="E20" s="21"/>
    </row>
    <row r="21" spans="2:5" ht="18.600000000000001" thickBot="1" x14ac:dyDescent="0.4">
      <c r="B21" s="258"/>
      <c r="C21" s="258"/>
      <c r="D21" s="258"/>
      <c r="E21" s="21"/>
    </row>
    <row r="22" spans="2:5" ht="18" x14ac:dyDescent="0.35">
      <c r="B22" s="257" t="s">
        <v>413</v>
      </c>
      <c r="C22" s="257"/>
      <c r="D22" s="257"/>
      <c r="E22" s="21"/>
    </row>
    <row r="23" spans="2:5" ht="18" x14ac:dyDescent="0.35">
      <c r="B23" s="257"/>
      <c r="C23" s="257">
        <v>1</v>
      </c>
      <c r="D23" s="257"/>
      <c r="E23" s="21"/>
    </row>
    <row r="24" spans="2:5" ht="18" x14ac:dyDescent="0.35">
      <c r="B24" s="257"/>
      <c r="C24" s="257">
        <v>2</v>
      </c>
      <c r="D24" s="257"/>
      <c r="E24" s="21"/>
    </row>
    <row r="25" spans="2:5" ht="18" thickBot="1" x14ac:dyDescent="0.35">
      <c r="B25" s="258"/>
      <c r="C25" s="258"/>
      <c r="D25" s="258"/>
    </row>
    <row r="26" spans="2:5" ht="17.399999999999999" x14ac:dyDescent="0.3">
      <c r="B26" s="257" t="s">
        <v>423</v>
      </c>
      <c r="C26" s="257"/>
      <c r="D26" s="257"/>
      <c r="E26" s="257"/>
    </row>
    <row r="27" spans="2:5" ht="17.399999999999999" x14ac:dyDescent="0.3">
      <c r="B27" s="257"/>
      <c r="C27" s="257"/>
      <c r="D27" s="257"/>
      <c r="E27" s="257"/>
    </row>
    <row r="28" spans="2:5" ht="17.399999999999999" x14ac:dyDescent="0.3">
      <c r="B28" s="257"/>
      <c r="C28" s="257">
        <v>1</v>
      </c>
      <c r="D28" s="267">
        <v>0.22500000000000001</v>
      </c>
      <c r="E28" s="267">
        <f>1-22.5%</f>
        <v>0.77500000000000002</v>
      </c>
    </row>
    <row r="29" spans="2:5" ht="17.399999999999999" x14ac:dyDescent="0.3">
      <c r="B29" s="257"/>
      <c r="C29" s="257">
        <v>2</v>
      </c>
      <c r="D29" s="257">
        <v>0</v>
      </c>
      <c r="E29" s="257"/>
    </row>
    <row r="30" spans="2:5" ht="17.399999999999999" x14ac:dyDescent="0.3">
      <c r="B30" s="257"/>
      <c r="C30" s="257"/>
      <c r="D30" s="257"/>
      <c r="E30" s="25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DB</vt:lpstr>
      <vt:lpstr>SCENARIO-1 </vt:lpstr>
      <vt:lpstr>F.O</vt:lpstr>
      <vt:lpstr>O.H1</vt:lpstr>
      <vt:lpstr>O.H2</vt:lpstr>
      <vt:lpstr>P&amp;L</vt:lpstr>
      <vt:lpstr>C.F</vt:lpstr>
      <vt:lpstr>D.C.F</vt:lpstr>
      <vt:lpstr>M.C</vt:lpstr>
      <vt:lpstr>WACC</vt:lpstr>
      <vt:lpstr>B.E.P</vt:lpstr>
      <vt:lpstr>LEASE</vt:lpstr>
      <vt:lpstr>LOANS</vt:lpstr>
      <vt:lpstr>G.SALARY</vt:lpstr>
      <vt:lpstr>INPUTS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2026-08-27T16:46:36Z</dcterms:modified>
</cp:coreProperties>
</file>